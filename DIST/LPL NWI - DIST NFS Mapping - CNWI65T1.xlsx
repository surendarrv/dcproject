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LPL-NWI (NFS) WIS Atria 06.07.25 WR63105 NHR JR/Mapping/"/>
    </mc:Choice>
  </mc:AlternateContent>
  <xr:revisionPtr revIDLastSave="639" documentId="8_{D8F5096E-85D0-4E61-8DB9-A6F23D23DD07}" xr6:coauthVersionLast="47" xr6:coauthVersionMax="47" xr10:uidLastSave="{64E909CB-1CAB-4D88-9901-289D1BBD001D}"/>
  <bookViews>
    <workbookView xWindow="57480" yWindow="-120" windowWidth="29040" windowHeight="15720" xr2:uid="{00000000-000D-0000-FFFF-FFFF00000000}"/>
  </bookViews>
  <sheets>
    <sheet name="COVER PAGE" sheetId="1" r:id="rId1"/>
    <sheet name="UPDATES" sheetId="5" r:id="rId2"/>
    <sheet name="NI CLIENT NOTES" sheetId="7" r:id="rId3"/>
    <sheet name="INCLUSION CRITERION" sheetId="12" r:id="rId4"/>
    <sheet name="MAPPING" sheetId="4" r:id="rId5"/>
    <sheet name="FREQ BEGIN" sheetId="16" r:id="rId6"/>
    <sheet name="PREVIOUS MAPPING" sheetId="20" r:id="rId7"/>
    <sheet name="SOURCE" sheetId="17" r:id="rId8"/>
    <sheet name="DESC" sheetId="18" r:id="rId9"/>
  </sheets>
  <externalReferences>
    <externalReference r:id="rId10"/>
  </externalReferences>
  <definedNames>
    <definedName name="_xlnm._FilterDatabase" localSheetId="4" hidden="1">MAPPING!$A$1:$Y$143</definedName>
    <definedName name="_xlnm._FilterDatabase" localSheetId="6" hidden="1">'PREVIOUS MAPPING'!$A$1:$X$147</definedName>
    <definedName name="conv" localSheetId="6">#REF!</definedName>
    <definedName name="conv">#REF!</definedName>
    <definedName name="convert" localSheetId="6">'[1]Broadridge - Options'!#REF!</definedName>
    <definedName name="convert">'[1]Broadridge - Options'!#REF!</definedName>
    <definedName name="OLE_LINK5" localSheetId="1">UPDATES!$D$5</definedName>
    <definedName name="_xlnm.Print_Area" localSheetId="5">'FREQ BEGIN'!$A$1:$R$50</definedName>
    <definedName name="_xlnm.Print_Area" localSheetId="3">'INCLUSION CRITERION'!$A$1:$F$48</definedName>
    <definedName name="_xlnm.Print_Area" localSheetId="4">MAPPING!$A$1:$O$133</definedName>
    <definedName name="_xlnm.Print_Area" localSheetId="6">'PREVIOUS MAPPING'!$A$1:$L$137</definedName>
    <definedName name="_xlnm.Print_Area" localSheetId="7">SOURCE!$A$1:$F$31</definedName>
    <definedName name="_xlnm.Print_Area" localSheetId="1">UPDATES!$A$1:$D$35</definedName>
    <definedName name="_xlnm.Print_Titles" localSheetId="4">MAPPING!$1:$1</definedName>
    <definedName name="_xlnm.Print_Titles" localSheetId="6">'PREVIOUS MAPPING'!$1:$1</definedName>
    <definedName name="Z_02280CA5_0044_4FC6_97AF_494789BF2E49_.wvu.PrintTitles" localSheetId="1"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4" i="16" l="1"/>
  <c r="G49" i="12"/>
  <c r="A28" i="1" l="1"/>
  <c r="A29" i="1"/>
</calcChain>
</file>

<file path=xl/sharedStrings.xml><?xml version="1.0" encoding="utf-8"?>
<sst xmlns="http://schemas.openxmlformats.org/spreadsheetml/2006/main" count="4073" uniqueCount="1033">
  <si>
    <t>Created:</t>
  </si>
  <si>
    <t>Updated:</t>
  </si>
  <si>
    <t xml:space="preserve"> </t>
  </si>
  <si>
    <t>FARM/Parameter Dependencies:</t>
  </si>
  <si>
    <t>Firm Number:</t>
  </si>
  <si>
    <t>FARM DIST</t>
  </si>
  <si>
    <t>Sub Number:</t>
  </si>
  <si>
    <t>Old Account prefix:</t>
  </si>
  <si>
    <t>FARM/Parameter's reviewed:</t>
  </si>
  <si>
    <t>FARM CASH</t>
  </si>
  <si>
    <t>Primary BETA Contact:</t>
  </si>
  <si>
    <t>ABAM</t>
  </si>
  <si>
    <t>Primary CLIENT Contact:</t>
  </si>
  <si>
    <t>FEES</t>
  </si>
  <si>
    <t>FARM CLED</t>
  </si>
  <si>
    <t xml:space="preserve">Input File(s): </t>
  </si>
  <si>
    <t xml:space="preserve">Copybook: </t>
  </si>
  <si>
    <t>WRAP PRM2</t>
  </si>
  <si>
    <t>NFSICPEC</t>
  </si>
  <si>
    <t>FROZ</t>
  </si>
  <si>
    <t>NFSPWSP</t>
  </si>
  <si>
    <t>NFSPWAA</t>
  </si>
  <si>
    <t>NFSPWFU</t>
  </si>
  <si>
    <t>Internal Use Only:</t>
  </si>
  <si>
    <t>Test region:</t>
  </si>
  <si>
    <t>Production Region:</t>
  </si>
  <si>
    <t>Test Series:</t>
  </si>
  <si>
    <t>X</t>
  </si>
  <si>
    <t>Production Series:</t>
  </si>
  <si>
    <t>Adds After File(s)</t>
  </si>
  <si>
    <t>Copybook:</t>
  </si>
  <si>
    <t>DBCDCY2K (or DEDIST)</t>
  </si>
  <si>
    <t>(test)</t>
  </si>
  <si>
    <t>(prod)</t>
  </si>
  <si>
    <r>
      <t xml:space="preserve">5608: </t>
    </r>
    <r>
      <rPr>
        <sz val="10"/>
        <color indexed="8"/>
        <rFont val="Arial"/>
        <family val="2"/>
      </rPr>
      <t xml:space="preserve"> The CSI-2 field on ACCT must be a ‘C’</t>
    </r>
  </si>
  <si>
    <r>
      <t xml:space="preserve">5607: </t>
    </r>
    <r>
      <rPr>
        <sz val="10"/>
        <color indexed="8"/>
        <rFont val="Arial"/>
        <family val="2"/>
      </rPr>
      <t xml:space="preserve">The DIVSI field on ACCT must be a ‘1, D, W, E or M’ </t>
    </r>
  </si>
  <si>
    <t xml:space="preserve">PWSP is the driver file.  </t>
  </si>
  <si>
    <t>Sort off any duplicate account/seq no records from the PWFU file by (PLN-ID + PLN-SQ-N + EFT-SUFX)</t>
  </si>
  <si>
    <t>If only 1 PWSP record exists but there are multiple unique records on the PWFU file, use the 1st record to match to ICP file.   If there is no match, convert DIST record without ACH instructions (ICP)</t>
  </si>
  <si>
    <t>ICP file sort criterion:</t>
  </si>
  <si>
    <t>Convert records when NFS-ICP-ES-SI-TYPE (col 8-9) = ES</t>
  </si>
  <si>
    <t>If NFS-ICP-ES-BEN-ACC-TY-C (col 1039) = S and there are multiple records for the account on the ICP file, convert the record that has the most recent date in CRET-T (pos. 90-115)</t>
  </si>
  <si>
    <t>If NFS-ICP-ES-BEN-ACC-TY-C (col 1039) = C and there are multiple records for the account on the ICP file, convert the record that has the most recent date in CRET-T (pos. 90-115)</t>
  </si>
  <si>
    <t xml:space="preserve">NOTE:  To determine a 'variable' DIST record,  a firm may need to look at the NAME file, 101 record dividend instructions.  </t>
  </si>
  <si>
    <t>DATE</t>
  </si>
  <si>
    <t xml:space="preserve">Remedy Task </t>
  </si>
  <si>
    <t>NI</t>
  </si>
  <si>
    <t>UPDATES</t>
  </si>
  <si>
    <t xml:space="preserve">NFS-PWSP-PLN-TY
(col 22) </t>
  </si>
  <si>
    <t>FIXED
Y / N</t>
  </si>
  <si>
    <t>VARIABLE
Y / N</t>
  </si>
  <si>
    <t xml:space="preserve">COMMENTS
</t>
  </si>
  <si>
    <t>R</t>
  </si>
  <si>
    <t>Y</t>
  </si>
  <si>
    <t>N</t>
  </si>
  <si>
    <t>Non-Retirement</t>
  </si>
  <si>
    <t>E</t>
  </si>
  <si>
    <t>Earnings (Retirement and Non-Retirement)</t>
  </si>
  <si>
    <t>G</t>
  </si>
  <si>
    <t>General (Retirement only)</t>
  </si>
  <si>
    <t>M</t>
  </si>
  <si>
    <t>MRD (Retirement Only</t>
  </si>
  <si>
    <t>D</t>
  </si>
  <si>
    <t>Death election MRD (Retirement only)</t>
  </si>
  <si>
    <t>S</t>
  </si>
  <si>
    <t>SEQP (Retirement only)</t>
  </si>
  <si>
    <t>NFS-PWSP-STAT-C
(col 23)</t>
  </si>
  <si>
    <t>Plan Status</t>
  </si>
  <si>
    <t>A</t>
  </si>
  <si>
    <t>Active</t>
  </si>
  <si>
    <t>New</t>
  </si>
  <si>
    <t>NFS-PWSP-PLN-ACC-TY
(col 25)</t>
  </si>
  <si>
    <t>Account Grouping</t>
  </si>
  <si>
    <t>I</t>
  </si>
  <si>
    <t>IRA's</t>
  </si>
  <si>
    <t>KMP</t>
  </si>
  <si>
    <t>P</t>
  </si>
  <si>
    <t>KPS</t>
  </si>
  <si>
    <t>NFS-PWSP-PY-CLC-MH
(col 51)</t>
  </si>
  <si>
    <t>Calculation Method</t>
  </si>
  <si>
    <t>Fixed Period</t>
  </si>
  <si>
    <t>F</t>
  </si>
  <si>
    <t>Fixed Amount</t>
  </si>
  <si>
    <t>L</t>
  </si>
  <si>
    <t>LE</t>
  </si>
  <si>
    <t>T</t>
  </si>
  <si>
    <t>2002 Regulations</t>
  </si>
  <si>
    <t>Amortization</t>
  </si>
  <si>
    <t>NFS-PWSP-MNEM
(col 52-54)</t>
  </si>
  <si>
    <t>Distribution mnemonic's</t>
  </si>
  <si>
    <t>CKP</t>
  </si>
  <si>
    <t>Check Paid - Retail</t>
  </si>
  <si>
    <t>EPP</t>
  </si>
  <si>
    <t>Early Distribution (2)</t>
  </si>
  <si>
    <t>ETT</t>
  </si>
  <si>
    <t>EFT - Retail</t>
  </si>
  <si>
    <t>PDD</t>
  </si>
  <si>
    <t>Disability Distribution (3)</t>
  </si>
  <si>
    <t>PDH</t>
  </si>
  <si>
    <t>Death Distribution (4)</t>
  </si>
  <si>
    <t>PDP</t>
  </si>
  <si>
    <t>Normal Distribution (7)</t>
  </si>
  <si>
    <t>PPM</t>
  </si>
  <si>
    <t>Prem Distribution (1)</t>
  </si>
  <si>
    <t>TFR</t>
  </si>
  <si>
    <t>Transfer</t>
  </si>
  <si>
    <t>NFS-PWSP-PMT-TY-***-C
(col 249-260)</t>
  </si>
  <si>
    <t>Payment Types</t>
  </si>
  <si>
    <t>Check</t>
  </si>
  <si>
    <t>C</t>
  </si>
  <si>
    <t>Check-Alt Address</t>
  </si>
  <si>
    <t>Directed</t>
  </si>
  <si>
    <t>EFT</t>
  </si>
  <si>
    <t>NFS-PWSP-DIRC-CUSP
(col 295)</t>
  </si>
  <si>
    <t>Funding Cusip</t>
  </si>
  <si>
    <t>= SPACE</t>
  </si>
  <si>
    <t>NFS-PWSP-END-DATE 
(col 41-50 )</t>
  </si>
  <si>
    <t>Program determines if record is fixed if DISTRIBUTION-AMT field &gt; 0 else it is a variable record</t>
  </si>
  <si>
    <t>Change Date</t>
  </si>
  <si>
    <t>COMMENTS</t>
  </si>
  <si>
    <t>BETA Remedy Task #</t>
  </si>
  <si>
    <t>Begin</t>
  </si>
  <si>
    <t>PIC</t>
  </si>
  <si>
    <t>DIST Field Name</t>
  </si>
  <si>
    <t>BETA Field Name
DIST-</t>
  </si>
  <si>
    <t>BETA Description</t>
  </si>
  <si>
    <t>NFS Field Name</t>
  </si>
  <si>
    <t>BETA Only Notes</t>
  </si>
  <si>
    <t>Fixed Mapping Instructions for Programmer</t>
  </si>
  <si>
    <t>Variable Mapping Instructions for Programmer</t>
  </si>
  <si>
    <t>SRC</t>
  </si>
  <si>
    <t>PRI</t>
  </si>
  <si>
    <t>FIXED/ VARIABLE/ BOTH</t>
  </si>
  <si>
    <t>Client Change Requests</t>
  </si>
  <si>
    <t>Client Only Notes</t>
  </si>
  <si>
    <t>Fixed - Option #1</t>
  </si>
  <si>
    <t>Fixed - Option #2</t>
  </si>
  <si>
    <t>Fixed - Option #3</t>
  </si>
  <si>
    <t>Variable - Option #1</t>
  </si>
  <si>
    <t>Variable - Option #2</t>
  </si>
  <si>
    <t>Variable - Option #3</t>
  </si>
  <si>
    <t>X(50)</t>
  </si>
  <si>
    <t>KEY-AREA</t>
  </si>
  <si>
    <t>(not for conversion)</t>
  </si>
  <si>
    <t>1. move spaces</t>
  </si>
  <si>
    <t>GROUP</t>
  </si>
  <si>
    <t>COOKIE-AREA</t>
  </si>
  <si>
    <t>CONVERSION -AREA</t>
  </si>
  <si>
    <t>1. Initialize to low values</t>
  </si>
  <si>
    <t>WORKAREA</t>
  </si>
  <si>
    <t xml:space="preserve">9(9)
</t>
  </si>
  <si>
    <t>ACCT</t>
  </si>
  <si>
    <t>CDC-ACCT</t>
  </si>
  <si>
    <t>BETA Account Number</t>
  </si>
  <si>
    <t>1. Move NAACCT-NO (beg 3-7).</t>
  </si>
  <si>
    <t>B</t>
  </si>
  <si>
    <t>1. From ACCT Adds after file: Move NAACCT-NO (beg 3-7).</t>
  </si>
  <si>
    <t>1. From ACCT Adds after file:  Move NAACCT-NO (beg 3-7).</t>
  </si>
  <si>
    <t>SSNO</t>
  </si>
  <si>
    <t>CDC-TAX-ID</t>
  </si>
  <si>
    <t>Social Security number or Tax ID</t>
  </si>
  <si>
    <t>If there are multiple DIST records for 1 account, the TAX-ID cannot be the same number and it cannot equal all 9's.</t>
  </si>
  <si>
    <t xml:space="preserve">1. Move zeros.
From ACCT Adds after file: If NAINST (beg 413) = I, move NAID (beg 382) from ACCT.
If  an account has multiple DIST records, the TAX-ID should be incremented by '1'.  (example:  ‘000000001’, ‘000000002’, etc.)'
</t>
  </si>
  <si>
    <t>CDC-NEW-TAX-ID</t>
  </si>
  <si>
    <t>Not for Conversion</t>
  </si>
  <si>
    <t>1. Initialize to low values.</t>
  </si>
  <si>
    <t>O</t>
  </si>
  <si>
    <t>X(5)</t>
  </si>
  <si>
    <t xml:space="preserve">SOURCE
</t>
  </si>
  <si>
    <t xml:space="preserve">CDC-SOURCE
</t>
  </si>
  <si>
    <t xml:space="preserve">Source code.                                       Values: 
IRAS: any valid 'PECO'
Retail: CCHK or ACH
</t>
  </si>
  <si>
    <t xml:space="preserve">PWSP file
NFS-PWSP-MNEM 
(col 52-54)
NFS-PWSP-PMT-TY-***-C (col 249-260)
</t>
  </si>
  <si>
    <t>Option #2 preferred.
If left as low values and retail account, DE will assign CCHK, ACH or JNL. 
If retirement acct, DE will look to IRAS - IRA Type field.  Then LRPT - default distribution code to populate (SB78232).  If the IRA Type field is spaces, DIST record will be rejected.</t>
  </si>
  <si>
    <t>2. Initialize to low values.</t>
  </si>
  <si>
    <t>1. Refer to SOURCE Table.</t>
  </si>
  <si>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</si>
  <si>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</si>
  <si>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</si>
  <si>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</si>
  <si>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1. Generated.</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</si>
  <si>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</si>
  <si>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</si>
  <si>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</si>
  <si>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 xml:space="preserve">PWSP file
NFS-PWSP-PMT-TY-***-C (col 249-260)
</t>
  </si>
  <si>
    <t>1. Refer to FREQ BEGIN Table.</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</si>
  <si>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</si>
  <si>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</si>
  <si>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</si>
  <si>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 xml:space="preserve">If DIST cycle date 'day' falls on a weekend, FARM DIST - WKND/HOL field determines the day the money is sent
If FREQ = E, CDC-BEGIN-DD2 (beg 898) must be populated.
If BEGIN-CYMD is &lt; 17, and BEGIN-DD2 remains spaces, the system will populate DD2 with the last day of the month. 
</t>
  </si>
  <si>
    <t>CDC-END-CYMD</t>
  </si>
  <si>
    <t>End date. No checks are cut after this date.</t>
  </si>
  <si>
    <t xml:space="preserve">PSWP  file
NFS-PWSP-END-DATE 
(col 41-50)
</t>
  </si>
  <si>
    <t xml:space="preserve">1. Initialize to low values.  
If PWSP-END-DATE (col 41-50) is not equal to 01/01/9999 move PWSP-END-DATE (col 41-50) minus 1 calendar day.  
</t>
  </si>
  <si>
    <t>S9(13)V 9(2)</t>
  </si>
  <si>
    <t>AMOUNT</t>
  </si>
  <si>
    <t>CDC-DISTRIBUTION-AMT</t>
  </si>
  <si>
    <t>Suggested fixed dollar amount for checks.</t>
  </si>
  <si>
    <t xml:space="preserve">PWSP file
NFS-PWSP-PMT-AMT 
(col 74-79)
</t>
  </si>
  <si>
    <t>1. Move PWSP-PMT-AMT (col 74-79).</t>
  </si>
  <si>
    <t>F/W</t>
  </si>
  <si>
    <t>CDC-WITH-CODE-1</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</si>
  <si>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</si>
  <si>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 xml:space="preserve">PWSP file
NFS-PWSP-WH-PCT (col 55-57)
NFS-PWSP-WH-AMT
(col 59-63)
</t>
  </si>
  <si>
    <t xml:space="preserve">IRAs ONLY. </t>
  </si>
  <si>
    <t>1. Move 'N'.
 If PWSP-WH-PCT (col 55-57) or PWSP-WH-AMT (col 59-63) is &gt; 0 move 'Y'.</t>
  </si>
  <si>
    <t>2.  Move 'N'</t>
  </si>
  <si>
    <t>9(5)V9(2)</t>
  </si>
  <si>
    <t>F/W PCT</t>
  </si>
  <si>
    <t>CDC-WITH-PCT-1</t>
  </si>
  <si>
    <t xml:space="preserve">Percentage rate (based on the gross amount) of federal income tax to be deducted.
</t>
  </si>
  <si>
    <t xml:space="preserve">PWSP file
NFS-PWSP-WH-PCT (col 55-57)
</t>
  </si>
  <si>
    <t>1.  Iniitalize to low values.
Move PWSP-WH-PCT (col 55-57) if &gt; zero.</t>
  </si>
  <si>
    <t>1.  Iniitalize to low values.
Move PWSP-WH-PCT (col 55-57)  if &gt; zero.</t>
  </si>
  <si>
    <t xml:space="preserve">S9(13)V 9(2)
</t>
  </si>
  <si>
    <t>F/W AMT</t>
  </si>
  <si>
    <t>CDC-WITH-AMOUNT-1</t>
  </si>
  <si>
    <t xml:space="preserve">Flat dollar amount of federal tax to be deducted.
</t>
  </si>
  <si>
    <t xml:space="preserve">PWSP file
NFS-PWSP-WH-AMT (col 59-63)
</t>
  </si>
  <si>
    <t>IRAs ONLY.
If the number entered in this field is less than 10 percent of the distribution, the minimum federal tax percentage that will be deducted is 10 percent</t>
  </si>
  <si>
    <t>1. Initialize to low values.
Move PWSP-WH-AMT (col 59-63) if &gt; zero.</t>
  </si>
  <si>
    <t xml:space="preserve">9(3)
</t>
  </si>
  <si>
    <t>F/W 
FED-ALLOW</t>
  </si>
  <si>
    <t>CDC-WITH-ALLOWANCE-1</t>
  </si>
  <si>
    <t xml:space="preserve">Number of federal allowances claimed by the customer
(not currently used)
</t>
  </si>
  <si>
    <t>S/W</t>
  </si>
  <si>
    <t>CDC-WITH-CODE-2</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</si>
  <si>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</si>
  <si>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t xml:space="preserve">PWSP file
NFS-PWSP-ST-WH (col 290-292)
</t>
  </si>
  <si>
    <t>1.  Move 'N'.
If PWSP-ST-WH (col 290-292) &gt; 0, move 'Y'.</t>
  </si>
  <si>
    <t>S/W PCT</t>
  </si>
  <si>
    <t>CDC-WITH-PCT-2</t>
  </si>
  <si>
    <t xml:space="preserve">Percentage rate (based on the gross amount) of state income tax to be deducted.
</t>
  </si>
  <si>
    <t>PWSP file 
NFS-PWSP-ST-WH (col 290-292)</t>
  </si>
  <si>
    <t>IRAs ONLY.
FARM IRAT - STATE ROUND UP</t>
  </si>
  <si>
    <t>1.  Initialize to low values.  
Move PSWP-ST-WH (col 290-292) if &gt; 0.</t>
  </si>
  <si>
    <t>S/W AMT</t>
  </si>
  <si>
    <t>CDC-WITH-AMOUNT-2</t>
  </si>
  <si>
    <t xml:space="preserve">Flat dollar amount of state tax to be deducted.
</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</si>
  <si>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</si>
  <si>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</si>
  <si>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</si>
  <si>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</si>
  <si>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</si>
  <si>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</si>
  <si>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</si>
  <si>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r>
      <t xml:space="preserve">PWSP file
NFS-PWSP-PMT-TY-***-C (col 249-260) </t>
    </r>
    <r>
      <rPr>
        <sz val="9"/>
        <color indexed="36"/>
        <rFont val="Arial"/>
        <family val="2"/>
      </rPr>
      <t xml:space="preserve"> (Note: *** = Jan, Feb, etc through Dec)</t>
    </r>
    <r>
      <rPr>
        <sz val="9"/>
        <color indexed="8"/>
        <rFont val="Arial"/>
        <family val="2"/>
      </rPr>
      <t xml:space="preserve">
PWAAFILE file
NFS-PWAA-ADDR-1 (col 49-80)
NFS-PWAA-BNK-NM (col 241)
</t>
    </r>
  </si>
  <si>
    <t>1. Initialize to low values.
If PWSP-PMT-TY-***-C = A (col 249-260), move PWAA-BNK-NM (col 241) if &gt; spaces else move PWAA-ADDR-1 (col 49-80).  
Write account to warning report (MSGT = 5721).</t>
  </si>
  <si>
    <t xml:space="preserve">1. Initialize to low values.
</t>
  </si>
  <si>
    <t>CDC-ALT-NALINE-2</t>
  </si>
  <si>
    <t xml:space="preserve">PWSP file
NFS-PWSP-PMT-TY-***-C (col 249-260) (Note: *** = Jan, Feb, etc through Dec)
PWAA  file
NFS-PWAA-ADDR-1 (col 49-80)
NFS-PWAA-ADDR-2 (col 81-112)
NFS-PWAA-BNK-NM (col 241)
</t>
  </si>
  <si>
    <t>1. Initialize to low values.
If PWSP-PMT-TY-***-C = A (col 249-260) and PWAA-BNK-NM (col 241) is &gt; spaces move PWAA-ADDR-1 (col 49-80) else move PWAA-ADDR-2 (col 81-112). 
Write account to warning report. (MSGT = 5722).</t>
  </si>
  <si>
    <t xml:space="preserve">1. Initialize to low values.  
</t>
  </si>
  <si>
    <t>CDC-ALT-NALINE-3</t>
  </si>
  <si>
    <t xml:space="preserve">PWSP file
NFS-PWSP-PMT-TY-***-C (col 249-260)
PWAA file
NFS-PWAA-ADDR-2 (col 81-112)
NFS-PWAA-ADDR-3 (col 113-144)
NFS-PWAA-BNK-NM (col 241)
</t>
  </si>
  <si>
    <t>1. Initialize to low values.
If PWSP-PMT-TY-***-C = A (col 249-260) and PWAA-BNK-NM (col 241) is &gt; spaces move PWAA-ADDR-2 (col 81-112) else move PWAA-ADDR-3 (col 113-144). 
Write account to warning report. (MSGT = 5723).</t>
  </si>
  <si>
    <t>CDC-ALT-NALINE-4</t>
  </si>
  <si>
    <t xml:space="preserve">PWSP file
NFS-PWSP-PMT-TY-***-C (col 249-260)
PWAA  file
NFS-PWAA-ADDR-3 (col 113-144)
NFS-PWAA-ADDR-4 (col 145-176)
NFS-PWAA-BNK-NM (col 241)
</t>
  </si>
  <si>
    <t>1. Initialize to low values.
If PWSP-PMT-TY-***-C = A (col 249-260) and PWAA-BNK-NM (col 241) is &gt; spaces move PWAA-ADDR-3 (col 113-144) else move PWAA-ADDR-4 (col 145-176). 
Write account to warning report. (MSGT = 5724).</t>
  </si>
  <si>
    <t>CDC-ALT-NALINE-5</t>
  </si>
  <si>
    <t xml:space="preserve">PWSP file
NFS-PWSP-PMT-TY-***-C (col 249-260)
PWAA file
NFS-PWAA-ADDR-4 (col 145-176)
NFS-PWAA-ADDR-5 (col 177-208)
NFS-PWAA-BNK-NM (col 241)
</t>
  </si>
  <si>
    <t>1. Initialize to low values.
If PWSP-PMT-TY-***-C = A (col 249-260) and PWAA-BNK-NM (col 241) is &gt; spaces move PWAA-ADDR-4 (col 145-176) else move PWAA-ADDR-5 (col 177-208). 
Write account to warning report.  (MSGT = 5725)</t>
  </si>
  <si>
    <t>1. Initialize to low values.
If PWSP-PMT-TY-***-C = A (col 249-260) and PWAA-BNK-NM (col 241) is &gt; spaces move PWAA-ADDR-4 (col 145-176) else move PWAA-ADDR-5 (col 177-208). 
Write account to warning report.  (MSGT = 5725).</t>
  </si>
  <si>
    <t>CDC-ALT-NALINE-6</t>
  </si>
  <si>
    <t xml:space="preserve">PWSP file
NFS-PWSP-PMT-TY-***-C (col 249-260)
PWAA  file
NFS-PWAA-ADDR-5 (col 177-208)
NFS-PWAA-ADDR-6 (col 209-240)
NFS-PWAA-BNK-NM (col 241)
</t>
  </si>
  <si>
    <t>1. Initialize to low values.
If PWSP-PMT-TY-***-C = A (col 249-260) and PWAA-BNK-NM (col 241) is &gt; spaces move PWAA-ADDR-5 (col 177-208) else move PWAA-ADDR-6 (col 209-240). 
Write account to warning report. (MSGT = 5726).</t>
  </si>
  <si>
    <t>X(24)</t>
  </si>
  <si>
    <t>TRAILER</t>
  </si>
  <si>
    <t>CDC-DESC-1</t>
  </si>
  <si>
    <t xml:space="preserve">Check trailer. Prints as the first line of description for retail accounts and the second line of description for retirement accounts.
</t>
  </si>
  <si>
    <t>Required for Retail accounts, Optional for IRAs.</t>
  </si>
  <si>
    <t xml:space="preserve">1. Default to 'PRINCIPAL DISTRIBUTION'
If NAINST NOT = "I'
    Refer to DESC Table
</t>
  </si>
  <si>
    <t>2. If CDC-DIV-CODE (Beg 650) is blank (CDC-JNL-ACCT (Beg 651) and CDC-ACH-ABA (Beg 678) are blank), move ??
If CDC-JNL-ACCT (Beg 651) is populated and CDC-DIV-CODE(Beg 650) is blank, move ??
If CDC-ACH-ABA (Beg 678) is populated and CDC-DIV-CODE (Beg 650) is blank,  move ??</t>
  </si>
  <si>
    <t>3.  Move "?"</t>
  </si>
  <si>
    <t>X(80)</t>
  </si>
  <si>
    <t>ACH ADDENDA INFORMATION</t>
  </si>
  <si>
    <t>CDC-ADDENDA</t>
  </si>
  <si>
    <t xml:space="preserve">Free-form text that will be sent on the ACH file as addendum information to the receiving institution. 
Free-form text that will be sent on the ACH file as addendum information to the receiving institution.
</t>
  </si>
  <si>
    <t>1.  Initialize to low values.</t>
  </si>
  <si>
    <t>9(9)
COMP-3</t>
  </si>
  <si>
    <t>CDC-ADD-CYMD</t>
  </si>
  <si>
    <t>Date on which distribution record was added to DIST</t>
  </si>
  <si>
    <t>1. Set to run date of conversion.</t>
  </si>
  <si>
    <t>9(9)</t>
  </si>
  <si>
    <t>UPDATED</t>
  </si>
  <si>
    <t>CDC-UPDATE-VYMD</t>
  </si>
  <si>
    <t>Date on which last change was made to the distribution record</t>
  </si>
  <si>
    <t>X(3)</t>
  </si>
  <si>
    <t>WHO</t>
  </si>
  <si>
    <t>CDC-UPDATE-WHO</t>
  </si>
  <si>
    <t xml:space="preserve">Initials of person who made the last change to the distribution record
</t>
  </si>
  <si>
    <t>1. Move 'EDP'.</t>
  </si>
  <si>
    <t>X(4)</t>
  </si>
  <si>
    <t>TERM</t>
  </si>
  <si>
    <t>CDC-UPDATE-TERMINAL</t>
  </si>
  <si>
    <t xml:space="preserve">Terminal ID where the last change was made to thedistribution record.
</t>
  </si>
  <si>
    <t>1. Move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</si>
  <si>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</si>
  <si>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</si>
  <si>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</si>
  <si>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</si>
  <si>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</si>
  <si>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</si>
  <si>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</si>
  <si>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</si>
  <si>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</si>
  <si>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IRAs ONLY.</t>
  </si>
  <si>
    <t>STATE</t>
  </si>
  <si>
    <t>CDC-STATE-CODE</t>
  </si>
  <si>
    <t xml:space="preserve">State code for the customer's legal state of residence for state income tax withholding.  Pulled from STATE field on ACCT.
</t>
  </si>
  <si>
    <t xml:space="preserve">From Adds After File:
NA-STATE-CODE (Beg 369-370)
DIST-CDC-WITH-CODE-2 (Beg 299)
 </t>
  </si>
  <si>
    <t>IRAs ONLY.
SILO</t>
  </si>
  <si>
    <t>1.  If  DIST-CDC-WITH-CODE-2 (Beg 299) is not spaces or zeroes, From ACCT Adds After file, move NA-STATE-CODE (Beg 369-370).</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</si>
  <si>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</si>
  <si>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</si>
  <si>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</si>
  <si>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</si>
  <si>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JNL TO A/C</t>
  </si>
  <si>
    <t>CDC-JNL-ACCT</t>
  </si>
  <si>
    <t>"Journal to" account number = Old (original) account number.
 Rather than generating a check, money will be journaled to this alternate account.</t>
  </si>
  <si>
    <t>PWSP file
NFS-PWSP-PMT-TY-***-C (col 249-260)
NFS-PWSP-DIRC-BRCH-C (col 81-83)
NFS-PWSP-DIRC-BASE-C (col 84-89)</t>
  </si>
  <si>
    <t>Add value for ??</t>
  </si>
  <si>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</si>
  <si>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</si>
  <si>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</si>
  <si>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1.  Initialize to low values.  
If CDC-FREQUENCY (beg 239) is populated move 'X'.  </t>
  </si>
  <si>
    <t>OTHER</t>
  </si>
  <si>
    <t>CDC-OTHER-INCOME</t>
  </si>
  <si>
    <t xml:space="preserve">Other income indicator                                              X = Income generated with source codes other than the usual dividend and interest codes will either be added to dividend/interest balanceon CLED or the VAR-AMT field on DIST and paid out according to the FREQ  field  on DIST.
</t>
  </si>
  <si>
    <t>FC-BAL</t>
  </si>
  <si>
    <t>CDC-FREE-CREDIT</t>
  </si>
  <si>
    <t>Free credit balance indicator                                               
X = Check should be cut for entire free credit balance amount.
Blank = AMOUNT field will be used to determine the amount of the check.</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</si>
  <si>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</si>
  <si>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</si>
  <si>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</si>
  <si>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</si>
  <si>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TYPE</t>
  </si>
  <si>
    <t>CDC-JNL-ACCTTYPE</t>
  </si>
  <si>
    <t>BETA account type of the "journal to" account number</t>
  </si>
  <si>
    <t>PWSP file
NSF-PWSP-PMT-TY-***-C = D (col 249-260)</t>
  </si>
  <si>
    <t>Value of 'D'  = journal account on NFS</t>
  </si>
  <si>
    <t>1.  Initialize to low values.  
If PWSP-PMT-TY-***-C = D (col 249-260), move 1</t>
  </si>
  <si>
    <t>CDC-JNL-SOURCE</t>
  </si>
  <si>
    <t>Source code to be used on the credit entry to the "journal to" account number                                                    (Usually 'JNL' for money, 'JRL' for stocks)</t>
  </si>
  <si>
    <t xml:space="preserve">Value of 'D'  = journal account on NFS
</t>
  </si>
  <si>
    <t>1.  Initialize to low values.  
If PWSP-PMT-TY-***-C = D (col 249-260), move '???'</t>
  </si>
  <si>
    <t>2. Initialize to low values.
If CDC-JNL-ACCT (beg 651) &gt; zero's and NAINST (beg 413) of CDC-JCL-ACCT = I (col 651), move 'IRACC'.
If CDC-JNL-ACCT (beg 651) &gt; zero's and NAINST (beg 413) of CDC-JCL-ACCT not = I (col 651), move 'JNL'.</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</si>
  <si>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</si>
  <si>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</si>
  <si>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</si>
  <si>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</si>
  <si>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</si>
  <si>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</si>
  <si>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</si>
  <si>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</si>
  <si>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</si>
  <si>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</si>
  <si>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</si>
  <si>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</si>
  <si>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</si>
  <si>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</si>
  <si>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</si>
  <si>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</si>
  <si>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</si>
  <si>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</si>
  <si>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CDC-DIV-CODE (beg 469) = X, move X
</t>
  </si>
  <si>
    <t>MM-INT</t>
  </si>
  <si>
    <t xml:space="preserve">CDC-MMF-DIV
</t>
  </si>
  <si>
    <t xml:space="preserve">Money market fund interest indicator.
(Not currently used)                                                              
</t>
  </si>
  <si>
    <t>MM-BAL</t>
  </si>
  <si>
    <t>CDC-MMF-BAL</t>
  </si>
  <si>
    <t>Money market fund balance indicator                                                                       
X = Entire money market fund balance will either be added to dividend/interest balance on CLED or the VAR-AMT field on DIST and paid out according to the FREQ  field  on DIST</t>
  </si>
  <si>
    <t>ABA#</t>
  </si>
  <si>
    <t xml:space="preserve">CDC-ACH-ABA
</t>
  </si>
  <si>
    <t xml:space="preserve">Customer bank's ACH identification number for transmissions.                                             
</t>
  </si>
  <si>
    <t xml:space="preserve">PWSP file 
NFS-PWSP-PMT-TY-***-C (col 249-260)
PWFU file
NFS-PWFU-PLN-ID (col 1-9) 
NFS-PWFU-PLN-SQ-N 
(col 11-12)
NFS-PWFU-EFT-SUFX 
(col 42-43)
ICP file 
NFS-ICP-ES-SI-TYPE 
(col 8-9) 
NFS-ICP-ES-STG-INSN-ID (col 10-29)
NFS-ICP-ES-ABA-ID 
(col 901-909)
</t>
  </si>
  <si>
    <t>FARM CASH - VERIFY ACH INSTR</t>
  </si>
  <si>
    <t>1. Initialize to low values. 
If ICP-ES-SI-TYPE = ES (col 8-9), move ICP-ES-ABA-ID (col 901-909) if &gt; 0.</t>
  </si>
  <si>
    <t>X(17)</t>
  </si>
  <si>
    <t>ACT#</t>
  </si>
  <si>
    <t>CDC-ACH-ACT</t>
  </si>
  <si>
    <t>Customer's checking or savings account number at the bank.</t>
  </si>
  <si>
    <t xml:space="preserve">PWSP file 
NFS-PWSP-PMT-TY-***-C (col 249-260)
PWFU file
NFS-PWFU-PLN-ID (col 1-9) 
NFS-PWFU-PLN-SQ-N 
(col 11-12)
NFS-PWFU-EFT-SUFX 
(col 42-43)
ICP file 
NFS-ICP-ES-SI-TYPE 
(col 8-9)
NFS-ICP-ES-STG-INSN-ID (col 10-29)
NFS-ICP-ES-BEN-ACC-ID (col 1022-1038)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</si>
  <si>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</si>
  <si>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1. Initialize to low values.   
If CDC-ACH-ABA (beg 678) is &gt; 0 and ICP-ES-SI-TYPE = ES (col 8-9), move ICP-ES-BEN-ACC-ID (col 1022-1038).</t>
  </si>
  <si>
    <t>1. Initialize to low values.   
If CDC-ACH-ABA (beg 678) is &gt; 0 and ICP-ES-SI-TYPE = ES (col 8-9), move NFS-ICP-ES-BEN-ACC-ID (col 1022-1038).</t>
  </si>
  <si>
    <t>CHK/SAV</t>
  </si>
  <si>
    <t>CDC-ACH-CHK-SAV</t>
  </si>
  <si>
    <t>Bank account type indicator 
Valid values:                                               
C- Checking 
S- Savings
L - Loan</t>
  </si>
  <si>
    <t xml:space="preserve">PWSP file 
NFS-PWSP-PMT-TY-***-C (col 249-260)
PWFU file
NFS-PWFU-PLN-ID (col 1-9) 
NFS-PWFU-PLN-SQ-N 
(col 11-12)
NFS-PWFU-EFT-SUFX 
(col 42-43)
ICP file 
NFS-ICP-ES-SI-TYPE 
(col 8-9) 
NFS-ICP-ES-STG-INSN-ID (col 10-29)
NFS-ICP-ES-BEN-ACC-TY-C (col 1039)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</si>
  <si>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</si>
  <si>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1. Initialize to low values.   
If CDC-ACH-ABA (beg 678) is &gt; 0 and ICP-ES-SI-TYPE = ES (col 8-9), move ICP-ES-BEN-ACC-TY-C (col 1039).</t>
  </si>
  <si>
    <t>X(22)</t>
  </si>
  <si>
    <t xml:space="preserve">NAME </t>
  </si>
  <si>
    <t>CDC-ACH-CUST-NAME</t>
  </si>
  <si>
    <t>Customer name as it will appear on screen and reports</t>
  </si>
  <si>
    <t xml:space="preserve">PWSP file 
NFS-PWSP-PMT-TY-***-C (col 249-260)
PWFU file
NFS-PWFU-PLN-ID (col 1-9) 
NFS-PWFU-PLN-SQ-N 
(col 11-12)
NFS-PWFU-EFT-SUFX 
(col 42-43)
ICP file 
NFS-ICP-ES-STG-INSN-ID (col 10-29)
NFS-ICP-ES-SI-TYPE
NFS-ICP-ES-BEN-NM 
(col 1000-1021)
</t>
  </si>
  <si>
    <t>PWSP of E = ACH</t>
  </si>
  <si>
    <t>1. Initialize to low values.   
If CDC-ACH-ABA (beg 678) is &gt; 0 and if PWSP-PMT-TY-***-C = E (col 249-260):  join files using PWSP-PLN-ID (col 1-9) and PWSP-PLN-SQ-N (col 11-12),  PWFU-PLN-ID (col 1-9) and PWFU-PLN-SQ-N (col 11-12), retrieve PWFU-EFT-SUFX (col 42-43). 
Using PWFU-PLN-ID (col 1-9) + PWFU-EFT-SUFX (col 11-12), cross-reference those values to ICP-ES-STG-INSN-ID (col 10-29) to find corresponding  record, move ICP-ES-BEN-NM (col 1000-1021).</t>
  </si>
  <si>
    <t xml:space="preserve">2. Initialize to low values. 
If CDC-ACH-ABA (beg 504) is numeric and greater than zero and PWSP-PMT-TY-***-C = E (col 249-260), move NA-KEY1 (beg 235-258) 
else
if ICP-ES-BEN-NM (col 1000-1021) not equal to spaces
  Move ICP-ES-BEN-NM (col 1000-1021).
</t>
  </si>
  <si>
    <t>1. Initialize to low values. 
If CDC-ACH-ABA (beg 678) is &gt; 0 and ICP-ES-SI-TYPE = ES (col 8-9), move ICP-ES-BEN-NM (col 1000-1021).</t>
  </si>
  <si>
    <t xml:space="preserve">2. Initialize to low values. 
If CDC-ACH-ABA (beg 504) is numeric and greater than zero and ICP-ES-SI-TYPE = ES (col 8-9),
move NA-KEY1 (beg 235-258) 
else
if ICP-ES-BEN-NM (col 1000-1021) not equal to spaces
  Move ICP-ES-BEN-NM (col 1000-1021).
</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</si>
  <si>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</si>
  <si>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</si>
  <si>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</si>
  <si>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PWSP file
NSF-PWSP-PMT-TY-***-C = E (col 249-260)</t>
  </si>
  <si>
    <t>FARM CASH 
ACH MAIL ADV DEFAULT
If this field is left blank, it will default to the code entered in the ACH MAIL ADV DEFAULT field on FARM CASH.
PWSP of E = ACH</t>
  </si>
  <si>
    <t>PRENOTE</t>
  </si>
  <si>
    <t>CDC-ACH-PRENOTE-CYMD</t>
  </si>
  <si>
    <t>Date that prenotification was sent.</t>
  </si>
  <si>
    <t>LIVE</t>
  </si>
  <si>
    <t>CDC-ACH-LIVE-CYMD</t>
  </si>
  <si>
    <t>Date that live transmission may begin.</t>
  </si>
  <si>
    <t>CDC-ACH-ABA (beg 678)</t>
  </si>
  <si>
    <t>Must be set to a date after the Financial conversion</t>
  </si>
  <si>
    <t xml:space="preserve">1. Initialize to low values. 
If CDC-ACH-ABA (beg 678) is &gt; 0, set to first business day after Financial conversion. </t>
  </si>
  <si>
    <t>TID</t>
  </si>
  <si>
    <t>CDC-TAXID-FORMAT</t>
  </si>
  <si>
    <t xml:space="preserve">Tax identification number format
Valid values:
blank - SSN
X = EIN       
</t>
  </si>
  <si>
    <t>1. From ACCT Adds after file: If NAINST (beg 413) = I and NAIDFORMAT (beg 379) from ACCT = '-' move 'X' else move space.</t>
  </si>
  <si>
    <t>2.  Initialize to Low values.</t>
  </si>
  <si>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</si>
  <si>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</si>
  <si>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</si>
  <si>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
Will be set to '0'</t>
  </si>
  <si>
    <t xml:space="preserve">1.  IF DIST-CDC-ACH-ABA  &gt; 0
    MOVE ZERO  </t>
  </si>
  <si>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</si>
  <si>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</si>
  <si>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Blank = not applicable</t>
  </si>
  <si>
    <t>GRP</t>
  </si>
  <si>
    <t>CDC-ACH-PRENOTE-KEY</t>
  </si>
  <si>
    <t>9(3)</t>
  </si>
  <si>
    <t>CDC-ACH-PRENOTE-FIRM</t>
  </si>
  <si>
    <t>Firm number on the distribution record</t>
  </si>
  <si>
    <t xml:space="preserve">2.  Move CDC-FIRM.          </t>
  </si>
  <si>
    <t>CDC-ACH-PRENOTE-ACCT</t>
  </si>
  <si>
    <t>Account number on the distribution record</t>
  </si>
  <si>
    <t>2. Move CDC-ACCT (beg 205).</t>
  </si>
  <si>
    <t>MAT</t>
  </si>
  <si>
    <t>CDC-MAT</t>
  </si>
  <si>
    <t xml:space="preserve">Maturity.
Valid values:
Blank- Do not capture the principle payments on maturing securities.
R = Capture for tonight's processing, from the real time system.
X = Capture for the next processing cycle.
</t>
  </si>
  <si>
    <t>S9(13)v99</t>
  </si>
  <si>
    <t>ODO-AMT</t>
  </si>
  <si>
    <t>CDC-ODO-AMT</t>
  </si>
  <si>
    <t xml:space="preserve">One distribution only adjustment for the current period.  Typically not converted. </t>
  </si>
  <si>
    <t>9(4)</t>
  </si>
  <si>
    <t>MIN$</t>
  </si>
  <si>
    <t>CDC-ADVICE-MIN-AMT</t>
  </si>
  <si>
    <t>Used to identify the minimum dollar amount for which mail advices will be sent to the customer.  Account level override to FARM CASH.</t>
  </si>
  <si>
    <t>FARM CASH  
MIN$</t>
  </si>
  <si>
    <t>CDC-DSI</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</si>
  <si>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</si>
  <si>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</si>
  <si>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</si>
  <si>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</si>
  <si>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</si>
  <si>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</si>
  <si>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</si>
  <si>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 xml:space="preserve">1. Move 'EDP'.
</t>
  </si>
  <si>
    <t>Move "?"</t>
  </si>
  <si>
    <t>CDC-UPDATE-SOURCE</t>
  </si>
  <si>
    <t xml:space="preserve">‘DIST’ -- online entry/update
‘BLSERVER’ -- BLSERVER entry/update
</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</si>
  <si>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</si>
  <si>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</si>
  <si>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</si>
  <si>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</si>
  <si>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PWSP file
NSF-PWSP-PMT-TY-***-C = A (col 249-260)</t>
  </si>
  <si>
    <t>Required if ALTERNATE NAME&amp;ADDR fields are populated
Value used by most firms is 'A'
NFS = A is alternate N&amp;A</t>
  </si>
  <si>
    <t xml:space="preserve">1. Default  to  ?
IF DIST-CDC-ALT-NALINE-1 &gt; SPACES,  Move "?"
</t>
  </si>
  <si>
    <t xml:space="preserve">2. Initialize to low values.  
If PWSP-PMT-TY-***-C = A (col 249-260), Move ?
</t>
  </si>
  <si>
    <r>
      <t xml:space="preserve">TOB 
</t>
    </r>
    <r>
      <rPr>
        <b/>
        <i/>
        <sz val="9"/>
        <color indexed="8"/>
        <rFont val="Arial"/>
        <family val="2"/>
      </rPr>
      <t>(ACH INFORMATION)</t>
    </r>
  </si>
  <si>
    <t xml:space="preserve">CDC-ACH-BENEFICIARY-TYP
</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</si>
  <si>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</si>
  <si>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PWSP file
NSF-PWSP-PMT-TY-***-C = E (col 249-260)
ICP file
NFS-ICP-ES-SI-TYPE = ES (col 8-9)</t>
  </si>
  <si>
    <t>NOTE: Required if CDC-ABA field is populated.
Value used by most firms is 'A'.
NFS = E is ACH
NFS = ES is variable ACH</t>
  </si>
  <si>
    <t>2. Initialize to low values.
If ICP-ES-SI-TYPE = ES (col 8-9),  move '?'</t>
  </si>
  <si>
    <t xml:space="preserve">1. If  DIST-CDC-ACH-ABA NUMERIC and  DIST-CDC-ACH-ABA &gt; ZERO                    
    move '?' as default.
Else 
   move  "?" as default.   </t>
  </si>
  <si>
    <t>2. Initialize to low values.
If PWSP-PMT-TY-***-C = E (col 249-260), move ?"</t>
  </si>
  <si>
    <t xml:space="preserve">TOB  
(For JNL to A/C) </t>
  </si>
  <si>
    <t>CDC-JNL-BENEFICIARY-TYP</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</si>
  <si>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</si>
  <si>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 xml:space="preserve">PWSP file
NFS-PWSP-PMT-TY-***-C (col 249-260)
</t>
  </si>
  <si>
    <t>Required if there is an account number in the JNL TO A/C field.
Value used by most firms is to move 'H' if CDC-SOURCE = JNL or IRACC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</si>
  <si>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 xml:space="preserve">1. Initialize to low values.  
If CDC-JNL-ACCT (beg 651) is &gt; 0 
and if PWSP-PMT-TY-***-C  = D (249-260) and CDCJNL-SOURCE (beg 665) = 'JNL" or "???', move '?'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</si>
  <si>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</si>
  <si>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</si>
  <si>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</si>
  <si>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IRAs ONLY.
MDRO conversion is a contingency else the RMD-IND field must be set to low values</t>
  </si>
  <si>
    <t>1. initialize to low values.</t>
  </si>
  <si>
    <t>CDC-INQ-PERSPECTIVE</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</si>
  <si>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</si>
  <si>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</si>
  <si>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</si>
  <si>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</si>
  <si>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</si>
  <si>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</si>
  <si>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</si>
  <si>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1. Move '1'.</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</si>
  <si>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</si>
  <si>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</si>
  <si>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</si>
  <si>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</si>
  <si>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</si>
  <si>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</si>
  <si>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</si>
  <si>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</si>
  <si>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</si>
  <si>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</si>
  <si>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</si>
  <si>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 xml:space="preserve">Required if CDC-FREQUENCY = E.  
'DAY' must be less than the 'day' in CDC-BEGIN-CYMD (beg 29), if left as spaces engine will calculate to last business day.
</t>
  </si>
  <si>
    <t xml:space="preserve">1.  Initialize to low values.  
</t>
  </si>
  <si>
    <t>CT</t>
  </si>
  <si>
    <t xml:space="preserve">CDC-CHECK-TYPE
</t>
  </si>
  <si>
    <t>Firm-defined type of check to be printed.</t>
  </si>
  <si>
    <t xml:space="preserve">1.  Initialize to low values.  
</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</si>
  <si>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</si>
  <si>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</si>
  <si>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(default)
</t>
    </r>
  </si>
  <si>
    <t>1.  Initialize to low values.
If CDC-ACH-ABA (beg 678) is &gt; 0, move 'N'.</t>
  </si>
  <si>
    <t>1.  Initialize to low values.
If CDC-ACH-ABA (beg 678) is &gt; 0, set to N.</t>
  </si>
  <si>
    <t>POE</t>
  </si>
  <si>
    <t>CDC-ENTRY-SOURCE</t>
  </si>
  <si>
    <t xml:space="preserve">Source of ACH Transaction 
Valid values:
EFT   (default)
WEB
IVR
</t>
  </si>
  <si>
    <t>1.  Initialize to low values.
If CDC-ACH-ABA (beg 678) is &gt; 0, move 'EFT'.</t>
  </si>
  <si>
    <t>1.  Initialize to low values.
If CDC-ACH-ABA (beg 678) is &gt; 0, set to EFT.</t>
  </si>
  <si>
    <t>X(16)</t>
  </si>
  <si>
    <t>AUTH</t>
  </si>
  <si>
    <t>CDC-CUSTOMER-AUTH</t>
  </si>
  <si>
    <t xml:space="preserve">Customer Authorization 
Valid values:
CUST AUTHORIZED 
Spaces 
</t>
  </si>
  <si>
    <t>If POE field = EFT, this field must be spaces</t>
  </si>
  <si>
    <t>CLIENT MEMO</t>
  </si>
  <si>
    <t>CDC-CLIENT-MEMO</t>
  </si>
  <si>
    <t>MEMO field where it can be used to add a note describing the transaction.  Information entered in the MEMO field will flow to the MEMO field on MACH for the transaction.</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</si>
  <si>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</si>
  <si>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</si>
  <si>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</si>
  <si>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</si>
  <si>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</si>
  <si>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</si>
  <si>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</si>
  <si>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CDC-ST-MARITAL-STAT</t>
  </si>
  <si>
    <t>Marital status - used only if tax is to be withheld based upon the IRS withholding tables.
(Not currently used for withholding calculations)
M = Married
S = Single
Valid values:
M- Married
S- Single</t>
  </si>
  <si>
    <t>CDC-WITH-ALLOWANCE-2</t>
  </si>
  <si>
    <t xml:space="preserve">Number of state allowances claimed by the customer.
(not currently used)
</t>
  </si>
  <si>
    <t>CDC-INQUIRY-SCOPE</t>
  </si>
  <si>
    <t>Not for conversion.   Reserved for future use 10/2018.</t>
  </si>
  <si>
    <t>CDC-DIST-ALTER-ID</t>
  </si>
  <si>
    <t>Not for conversion.   Reserved for future use 11/2018.</t>
  </si>
  <si>
    <t>ITEM NO</t>
  </si>
  <si>
    <t>CDC-PINS-ITEM-NO</t>
  </si>
  <si>
    <t xml:space="preserve">PINS Item Number </t>
  </si>
  <si>
    <t>New Field in development for new UI. 7/5/2021</t>
  </si>
  <si>
    <t>1. Initailize to low values</t>
  </si>
  <si>
    <t xml:space="preserve">9(3) </t>
  </si>
  <si>
    <t>CDC-AINS-ITEM-NO</t>
  </si>
  <si>
    <t xml:space="preserve">AINS Item Number </t>
  </si>
  <si>
    <t>CHECK MEMO</t>
  </si>
  <si>
    <t>CDC-CHECK-MEMO</t>
  </si>
  <si>
    <t>CHECK MEMO Field</t>
  </si>
  <si>
    <t>x(2547</t>
  </si>
  <si>
    <t>FILLER</t>
  </si>
  <si>
    <t>Frequency Description</t>
  </si>
  <si>
    <t>PWSP-PRCS-JAN-I
(col 237)</t>
  </si>
  <si>
    <t>PWSP-PRCS-FEB-I
(col 238)</t>
  </si>
  <si>
    <t>PWSP-PRCS-MAR-I
(col 239)</t>
  </si>
  <si>
    <t>PWSP-PRCS-APR-I
(col 240)</t>
  </si>
  <si>
    <t>PWSP-PRCS-MAY-I
(col 241)</t>
  </si>
  <si>
    <t>PWSP-PRCS-JUN-I
(col 242)</t>
  </si>
  <si>
    <t>PWSP-PRCS-JUL-I
(col 243)</t>
  </si>
  <si>
    <t>PWSP-PRCS-AUG-I
(col 244)</t>
  </si>
  <si>
    <t>PWSP-PRCS-SEP-I
(col 245)</t>
  </si>
  <si>
    <t>PWSP-PRCS-OCT-I
(col 246)</t>
  </si>
  <si>
    <t>PWSP-PRCS-NOV-I
(col 247)</t>
  </si>
  <si>
    <t>PWSP-PRCS-DEC-I
(col 248)</t>
  </si>
  <si>
    <t>CDC-FREQUENCY
(beg 239)</t>
  </si>
  <si>
    <r>
      <t xml:space="preserve">      </t>
    </r>
    <r>
      <rPr>
        <b/>
        <sz val="11"/>
        <color indexed="8"/>
        <rFont val="Calibri"/>
        <family val="2"/>
      </rPr>
      <t>MONTH</t>
    </r>
    <r>
      <rPr>
        <sz val="11"/>
        <color theme="1"/>
        <rFont val="Calibri"/>
        <family val="2"/>
        <scheme val="minor"/>
      </rPr>
      <t xml:space="preserve">
CDC-BEGIN-CYMD
(beg 245-246)</t>
    </r>
  </si>
  <si>
    <r>
      <t xml:space="preserve">        </t>
    </r>
    <r>
      <rPr>
        <b/>
        <sz val="11"/>
        <color indexed="8"/>
        <rFont val="Calibri"/>
        <family val="2"/>
      </rPr>
      <t>YEAR</t>
    </r>
    <r>
      <rPr>
        <sz val="11"/>
        <color theme="1"/>
        <rFont val="Calibri"/>
        <family val="2"/>
        <scheme val="minor"/>
      </rPr>
      <t xml:space="preserve">
CDC-BEGIN-CYMD
(beg 240-244)</t>
    </r>
  </si>
  <si>
    <t>Return to Mapping</t>
  </si>
  <si>
    <t>ANNUAL</t>
  </si>
  <si>
    <t>SEMI-ANNUAL</t>
  </si>
  <si>
    <t>JAN/JULY</t>
  </si>
  <si>
    <t>FEB/AUG</t>
  </si>
  <si>
    <t>MAR/SEPT</t>
  </si>
  <si>
    <t>APR/OCT</t>
  </si>
  <si>
    <t>MAY/NOV</t>
  </si>
  <si>
    <t>JUN/DEC</t>
  </si>
  <si>
    <t>QUARTERLY</t>
  </si>
  <si>
    <t>Q</t>
  </si>
  <si>
    <t>MONTHLY</t>
  </si>
  <si>
    <t xml:space="preserve">DAY for CDC-BEGIN-CYMD (beg 247-248):   If the NFS-PWSP-PRCS-DY-N (col 64-65) is equal “99” or '0'  use the day field from the NFS-PWSP-LST-SWP-DATE (col 213-222) field.  If an invalid day is found (i.e. “31” in February) reject record and print on reject report.  </t>
  </si>
  <si>
    <t xml:space="preserve">NI Template Only:  If 'month' is the month of the financial conversion, additional logic will be needed based on 'day'.  </t>
  </si>
  <si>
    <t xml:space="preserve"> For example, if run date of Financial is Saturday, Nov 8, 2014 this logic should be included:   If Nov &lt; 10th (Monday) of month then Nov = 2015 or if Nov &gt;=10th of month, Nov = 2014</t>
  </si>
  <si>
    <t>To calculate the dates (for LPL):</t>
  </si>
  <si>
    <r>
      <t>NI Template Example</t>
    </r>
    <r>
      <rPr>
        <sz val="11"/>
        <color rgb="FF000000"/>
        <rFont val="Calibri"/>
        <family val="2"/>
      </rPr>
      <t>:  If a DIST will fall on the same month of the financial conversion, additional logic will be needed based on ‘Day’.</t>
    </r>
  </si>
  <si>
    <t>Financial is 5/21/22.</t>
  </si>
  <si>
    <t>DISTs will start the Monday after Financial. If run date of Financial is Saturday May 21,2022, this logic should be included:</t>
  </si>
  <si>
    <t>If the DIST is scheduled for May and the ‘Day’ is &gt;=23 (Monday after Financial), then move May for the month and 2022 for the year.  (The new firm will process that May DIST.)</t>
  </si>
  <si>
    <t>All monthly DISTs will have a May DIST.  If the ‘Day’ is &lt;23, move June and 2022 for the year.  (Because these May DISTs were already sent by the previous vendor.)</t>
  </si>
  <si>
    <t>For Quarterly and falls on a May cycle, if &lt;23, move August/2022.</t>
  </si>
  <si>
    <t xml:space="preserve">For Bi-Monthly and falls in May cycle, (every other month), if &lt;23, move July/2022. </t>
  </si>
  <si>
    <t>For Semi-Annual and falls on a May cycle, if &lt;23, move November/2022.</t>
  </si>
  <si>
    <t>For Annual and is issued in May, if &lt;23, move May/2023.</t>
  </si>
  <si>
    <t>Note: Some clients choose to start DISTs the Tuesday after Financial.  LPL starts DISTs on Monday.</t>
  </si>
  <si>
    <t xml:space="preserve">           If the Monday is a holiday, the client will start DISTs on Tuesday after Financial</t>
  </si>
  <si>
    <t>Retail Accounts  (NAINST (beg 413) not = I)</t>
  </si>
  <si>
    <t>CDC-SOURCE (beg 232)</t>
  </si>
  <si>
    <t>PSWP file 
NFS-PWSP-MNEM 
(col 52-54)</t>
  </si>
  <si>
    <t>PSWP file
NFS-PWSP-PMT-TY-***-C 
(col 249-260)</t>
  </si>
  <si>
    <t>CDC-SOURCE
(beg 232)</t>
  </si>
  <si>
    <t>WARNING
Y/N</t>
  </si>
  <si>
    <t>default</t>
  </si>
  <si>
    <t>JNL</t>
  </si>
  <si>
    <t>CCHK</t>
  </si>
  <si>
    <t>Retail - Check Paid</t>
  </si>
  <si>
    <t>ACH</t>
  </si>
  <si>
    <t>Retail - EFT</t>
  </si>
  <si>
    <t>Transfer - Retail</t>
  </si>
  <si>
    <t>C or A</t>
  </si>
  <si>
    <t>IRA Accounts  (NAINST (beg 413) = I)</t>
  </si>
  <si>
    <t>REG</t>
  </si>
  <si>
    <t>PREM</t>
  </si>
  <si>
    <t>Early Distribution - IRA</t>
  </si>
  <si>
    <t>DEC2</t>
  </si>
  <si>
    <t>Death Distribution - IRA</t>
  </si>
  <si>
    <t>Normal Distribution - IRA</t>
  </si>
  <si>
    <t>Premature Distrubution - IRA</t>
  </si>
  <si>
    <t>WTRF</t>
  </si>
  <si>
    <t>Transfer - IRA</t>
  </si>
  <si>
    <t>NFS descriptions in PMT-TY-*** fields:</t>
  </si>
  <si>
    <t>C = Check</t>
  </si>
  <si>
    <t>A = Check to alternate address</t>
  </si>
  <si>
    <t>E = EFT</t>
  </si>
  <si>
    <t>D = Directed</t>
  </si>
  <si>
    <t>L = Liquidation to core fund</t>
  </si>
  <si>
    <t>I = IBP</t>
  </si>
  <si>
    <t>If there are 'spaces' in the NFS-PWSP-PMT-TY-***-C column, this field is not used to determine CDC-SOURCE.</t>
  </si>
  <si>
    <t xml:space="preserve">If CDC-FREQUENCY
(beg 232) = </t>
  </si>
  <si>
    <t>Move to CDC-DESC-1 
(beg 503)</t>
  </si>
  <si>
    <t>Principal Distribution</t>
  </si>
  <si>
    <t>Monthly Distribution</t>
  </si>
  <si>
    <t>Annual Distribution</t>
  </si>
  <si>
    <t>Quarterly Distribution</t>
  </si>
  <si>
    <t>Semi-Annual Distribution</t>
  </si>
  <si>
    <t>W</t>
  </si>
  <si>
    <t>Weekly Distribution</t>
  </si>
  <si>
    <t>Daily Distribution</t>
  </si>
  <si>
    <t>LPL - Peoples United (PEO)  
FIXED  08/20/2022</t>
  </si>
  <si>
    <t>LPL - Peoples United (PEO)  
VARIABLE  08/20/2022</t>
  </si>
  <si>
    <t>LPL - Invest (VST)  FIXED  02/06/2018</t>
  </si>
  <si>
    <t>LPL - Invest (VST)  VARIABLE  02/06/2018</t>
  </si>
  <si>
    <t>DAD - SMITH HAYES (HAY)
07/23/2016</t>
  </si>
  <si>
    <t>LPL
First Merit
09/2013
FIXED</t>
  </si>
  <si>
    <t>LPL
First Merit
09/2013
VARIABLE</t>
  </si>
  <si>
    <t>RWB - MWR
11/08/2014
FIXED</t>
  </si>
  <si>
    <t>RWB-MWR
11/08/2014
VARIABLE</t>
  </si>
  <si>
    <t>1. Move spaces</t>
  </si>
  <si>
    <t>1. Move NAACCT-NO (Beg 3-7).</t>
  </si>
  <si>
    <t>Determine from ACCT.</t>
  </si>
  <si>
    <t>String '+ACCOUNT-NUMBER(unpacked)</t>
  </si>
  <si>
    <t>1. Move zeros.
From ACCT Adds after file: If NAINST (beg 413) = I, move NAID (beg 382) from ACCT.
If  an account has multiple DIST records, the TAX-ID should be incremented by '1'.  (example:  ‘000000001’, ‘000000002’, etc.)'</t>
  </si>
  <si>
    <t xml:space="preserve">2. Default to zeros.
If NAINST (beg 413) = I, populate with NAID (beg 382) from ACCT.
If  an account has multiple DIST records, the TAX-ID should be decreased by '1'  (99999999,999999998, etc)'
</t>
  </si>
  <si>
    <t xml:space="preserve">1. Default to zeros.
If NAINST (Beg 413) = I, populate with NAID (Beg 382) from ACCT.
If an account has multiple DIST records, the TAX-ID for the second record should be 999999998 and then each subsequent record decreased by '1'.  (example:  ‘999999998’, ‘999999997’, etc.)'
</t>
  </si>
  <si>
    <t xml:space="preserve">For IRA accounts:
1st record - tax id
2nd record -000000000
For Retail accounts:
1st record - tax id
2nd record -000000000
3rd record – 000000001
4th record – 000000002
5th record – 000000003
Etc….
</t>
  </si>
  <si>
    <t xml:space="preserve">1. Default to zeros.
If NAINST (beg 413) = I, populate with NAID (beg 382) from ACCT.
If  an account has multiple DIST records, the TAX-ID should be incremented by '1'.  (example:  ‘000000001’, ‘000000002’, etc.)'
</t>
  </si>
  <si>
    <t>1. initialize to low values</t>
  </si>
  <si>
    <t>If left as low values and retail account, DE will assign CCHK, ACH or JNL. 
If retirement acct, DE will look to IRAS - IRA Type field.  Then LRPT - default distribution code to populate.  If it is spaces, DIST record will be rejected.</t>
  </si>
  <si>
    <t>New Option #2.
2. Initialize to low values</t>
  </si>
  <si>
    <t>1. Refer to SOURCE Table</t>
  </si>
  <si>
    <t xml:space="preserve">For Non-IRA (INST code other than ‘I’):
If PWSP file NFS-PWSP-MNEM (col 52-54) is equal to ‘CKP’, then convert to CCHK.
If PWSP file NFS-PWSP-MNEM (col 52-54) is equal to ‘ETT’, then convert to ACH.
If PWSP file NFS-PWSP-MNEM (col 52-54) is equal to ‘TFR’ and any NFS-PWSP-PMT-TY-***-C (col 249-260) = E, then convert to ACH.
If PWSP file NFS-PWSP-MNEM (col 52-54) is equal to ‘TFR’ and any NFS-PWSP-PMT-TY-***-C (col 249-260) = C, or A, then convert to CCHK.
If PWSP file NFS-PWSP-MNEM (col 52-54) is equal to ‘TFR’, and any NFS-PWSP-PMT-TY-***-C (col 249-260) = D, then convert to JNL.
For IRA Accounts (INST code ‘I’):
NFS                 BETA
Blank                REG
PDD                  DAB2
PDH                  DEC2
PDP                  REG
PPM                  PREM
TFR                  WTRF
(For any that are blank please place on warning report)
Default for both account types is JNL
</t>
  </si>
  <si>
    <t xml:space="preserve">PWSP file NFS-PWSP-MNEM (col 52-54)
NFS                         BETA   
EPP                        PRERE
PDD                       DAB2
PDH                       DEC2
PDP                       REG
PPM                       PREM
</t>
  </si>
  <si>
    <t>1. Generated</t>
  </si>
  <si>
    <t>Ignore</t>
  </si>
  <si>
    <t>1. Refer to FREQ BEGIN Table</t>
  </si>
  <si>
    <t>Table</t>
  </si>
  <si>
    <t>If DIST cycle date 'day' falls on a weekend, FARM DIST - WKND/HOL field determines the day the money is sent
If FREQ = E, CDC-BEGIN-DD2 (beg 898) must be populated.</t>
  </si>
  <si>
    <r>
      <t xml:space="preserve">1. Refer to FREQ BEGIN Table
</t>
    </r>
    <r>
      <rPr>
        <sz val="9"/>
        <color indexed="10"/>
        <rFont val="Arial"/>
        <family val="2"/>
      </rPr>
      <t xml:space="preserve">
</t>
    </r>
    <r>
      <rPr>
        <sz val="9"/>
        <color indexed="10"/>
        <rFont val="Arial"/>
        <family val="2"/>
      </rPr>
      <t xml:space="preserve">
</t>
    </r>
  </si>
  <si>
    <r>
      <t xml:space="preserve">1. Refer to FREQ BEGIN Table
</t>
    </r>
    <r>
      <rPr>
        <sz val="9"/>
        <color indexed="10"/>
        <rFont val="Arial"/>
        <family val="2"/>
      </rPr>
      <t xml:space="preserve">
</t>
    </r>
    <r>
      <rPr>
        <sz val="9"/>
        <rFont val="Arial"/>
        <family val="2"/>
      </rPr>
      <t xml:space="preserve">
</t>
    </r>
    <r>
      <rPr>
        <sz val="9"/>
        <color indexed="10"/>
        <rFont val="Arial"/>
        <family val="2"/>
      </rPr>
      <t xml:space="preserve">
</t>
    </r>
  </si>
  <si>
    <t>END</t>
  </si>
  <si>
    <t xml:space="preserve">1. Initialize to low values. 
If PWSP-END-DATE (col 41-50) is not equal to 01/01/9999 move PWSP-END-DATE (col 41-50) minus 1 calendar day. </t>
  </si>
  <si>
    <t xml:space="preserve">1. Initialize to low values.  
If PWSP-END-DATE is not equal to 01/01/9999 move PWSP-END-DATE minus 1 calendar day.  
</t>
  </si>
  <si>
    <t xml:space="preserve">1. Initialize to low values.  
If PWSP-END-DATE (col 41-50) is not equal to 01/01/9999 move PWSP-END-DATE minus 1 calendar day.  
</t>
  </si>
  <si>
    <t xml:space="preserve">PWSP file NFS-PWSP-END-DATE (col 41-50) minus 1 calendar day.
If PWSP file NFS-PWSP-END-DATE (col 41-50) is less than 05/11/11, do not convert.
If PWSP file NFS-PWSP-END-DATE (col 41-50) is equal to 01/01/9999, convert to blanks.
</t>
  </si>
  <si>
    <t xml:space="preserve">PWSP file NFS-PWSP-END-DATE (col 41-50) minus 1 calendar day.
If PWSP file NFS-PWSP-END-DATE (col 41-50) is less than 11/17/03, do not convert.
If PWSP file NFS-PWSP-END-DATE (col 41-50) is equal to 01/01/9999, convert to blanks.
</t>
  </si>
  <si>
    <t xml:space="preserve">1. Move PWSP-PMT-AMT </t>
  </si>
  <si>
    <t xml:space="preserve">1. Move PWSP-PMT-AMT (col 74-79) </t>
  </si>
  <si>
    <t>PWSP file NFS-PWSP-PMT-AMT (col 74-79)</t>
  </si>
  <si>
    <t>IRA ONLY</t>
  </si>
  <si>
    <t>1. Default to N
 If PWSP-WH-PCT or PWSP-WH-AMT is &gt; 0 move 'Y'</t>
  </si>
  <si>
    <t>1. Default to N
 If PWSP-WH-PCT (col 55-57) or PWSP-WH-AMT (col 59-63) is &gt; 0 move 'Y'</t>
  </si>
  <si>
    <t xml:space="preserve">If PWSP file NFS-PWSP-WH-PCT (col 55-57) is not equal to zero or blank, set to Y.
If PWSP file NFS-PWSP-WH-AMT (col 59-63) is not equal to zero or blank, set to Y.
If this field is not populated with a ‘Y’, please default to N.
</t>
  </si>
  <si>
    <t>IRA ONLY
If the number entered is less than 10, the minimum federal tax percentage that will be deducted is 10 percent.</t>
  </si>
  <si>
    <t>1.  Iniitalize to low values.
Move PWSP-WH-PCT if &gt; zero</t>
  </si>
  <si>
    <t>1.  Initalize to low values.
Move PWSP-WH-PCT (col 55-57) if &gt; zero</t>
  </si>
  <si>
    <t>PWSP file NFS-PWSP-WH-PCT (col 55-57)</t>
  </si>
  <si>
    <t>IRA ONLY
If the number entered in this field is less than 10 percent of the distribution, the minimum federal tax percentage that will be deducted is 10 percent</t>
  </si>
  <si>
    <t>1. Initialize to low values
Move PWSP-WH-AMT if &gt; zero</t>
  </si>
  <si>
    <t>1. Initialize to low values
Move PWSP-WH-AMT (col 59-63) if &gt; zero</t>
  </si>
  <si>
    <t xml:space="preserve">PWSP file NFS-PWSP-WH-AMT (col 59-63)
</t>
  </si>
  <si>
    <t xml:space="preserve">Number of federal allowances claimed by the customer
(not currently used)
</t>
  </si>
  <si>
    <t>1.  Default to 'N'
If PWP-ST-WH &gt; 0, move Y</t>
  </si>
  <si>
    <t>1.  Default to 'N'
If PWP-ST-WH (col 290-292) &gt; 0, move Y</t>
  </si>
  <si>
    <t xml:space="preserve">If PWSP file NFS-PWSP-ST-WH (col 290-292) is not equal to zero or blank, set to Y.
If this field is not populated with a ‘Y’ please default to N.
</t>
  </si>
  <si>
    <t xml:space="preserve">Percentage rate (based on the gross amount) of state income tax to be deducted.
</t>
  </si>
  <si>
    <t>IRA ONLY
FARM IRAT - STATE ROUND UP</t>
  </si>
  <si>
    <t>1.  Initialize to low values. 
Move PSWP-ST-WH (col 290-292) if &gt; 0.</t>
  </si>
  <si>
    <t>1.  Initialize to low values.  
Move PSWP-ST-WH if &gt; 0</t>
  </si>
  <si>
    <t>1.  Initialize to low values.  
Move PSWP-ST-WH (col 290-292) if &gt; 0</t>
  </si>
  <si>
    <t>PWSP file NFS-PWSP-ST-WH (col 290-292)</t>
  </si>
  <si>
    <t xml:space="preserve">Number of lines of name-only information in both the CUSTOMER NAME/ADDRESS and ALTERNATE NAME/ADDRESS fields.
</t>
  </si>
  <si>
    <t>Generated</t>
  </si>
  <si>
    <t>1. Initialize to low values.
If PWSP-PMT-TY-***-C = A (col 249-260), move PWAA-BNK-NM (col 241) if &gt; spaces else move PWAA-ADDR-1 (col 49-80). 
Write account to warning report (MSGT = 5721).</t>
  </si>
  <si>
    <t>1. Initialize to low values.
If PWSP-PMT-TY-***-C = A, move PWAA-BNK-NM if &gt; spaces else move PWAA-ADDR-1.  
Write account to warning report (MSGT = 5721)</t>
  </si>
  <si>
    <t>1. Initialize to low values.
If PWSP-PMT-TY-***-C = A, move PWAA-BNK-NM (col 241-272) if &gt; spaces else move PWAA-ADDR-1 (col 49-80).  
Write account to warning report (MSGT = 5721)</t>
  </si>
  <si>
    <t xml:space="preserve">If PWSPFILE  file NFS-PWSP-PMT-TY-***-C (col 249-260) = A 
Find corresponding PWAAFILE record for the following fields…
The CDC-ALT-NALINE-1 – 6 are to be populated with the PWAA-BNK-NM (col 241-272) and the PWAA-ADDR1 – 6 (col 49-240).
If the NFS-PWAA-BNK-NM (col 241-272) is populated, move contents to CDC-ALT-NALINE-1 and shift the PWAA-ADDR lines down accordingly 
Else
Move  NFS-PWAA-ADDR-1 (col 49-80) to CDC-ALT-NALINE-1
If Beta CDC-ALT-NALINE-1 is not blank, print to warning report.
</t>
  </si>
  <si>
    <t>1. Initialize to low values.
If PWSP-PMT-TY-***-C = A (col 249-260) and PWAA-BNK-NM (col 241) is &gt; spaces move PWAA-ADDR-1 (col 49-80) else move PWAA-ADDR-2 (col 81-112).
Write account to warning report. (MSGT = 5722).</t>
  </si>
  <si>
    <t>1. Initialize to low values.
If PWSP-PMT-TY-***-C = A and PWAA-BNK-NM is &gt; spaces move PWAA-ADDR-1 else move PWAA-ADDR-2. 
Write account to warning report. (MSGT = 5722)</t>
  </si>
  <si>
    <t>1. Initialize to low values.
If PWSP-PMT-TY-***-C (col 249-260) = A and PWAA-BNK-NM  (col 241-272) is &gt; spaces move PWAA-ADDR-1 (col 49-80) else move PWAA-ADDR-2(col 81-112) . 
Write account to warning report. (MSGT = 5722)</t>
  </si>
  <si>
    <t xml:space="preserve">If PWSP file NFS-PWSP-PMT-TY-***-C (col 249-260) = A and NFS-PWSS-BNK-NM (col 241-272) is populated, move PWAA file NFS-PWAA-ADDR-1 (col 49-80) to CDC-ALT-NALINE-2
Else
Move PWAA file NFS-PWAA-ADDR-2(col 81-112)  to CDC-ALT-NALINE-2
If Beta CDC-ALT-NALINE-2 is not blank, print to warning report.
</t>
  </si>
  <si>
    <t>1. Initialize to low values.
If PWSP-PMT-TY-***-C = A (col 249-260) and PWAA-BNK-NM (col 241) is &gt; spaces move PWAA-ADDR-2 (col 81-112) else move PWAA-ADDR-3 (col 113-144).
Write account to warning report. (MSGT = 5723).</t>
  </si>
  <si>
    <t>1. Initialize to low values.
If PWSP-PMT-TY-***-C = A and PWAA-BNK-NM is &gt; spaces move PWAA-ADDR-2 else move PWAA-ADDR-3. 
Write account to warning report. (MSGT = 5723)</t>
  </si>
  <si>
    <t>1. Initialize to low values.
If PWSP-PMT-TY-***-C (col 249-260) = A and PWAA-BNK-NM (col 241-272) is &gt; spaces move PWAA-ADDR-2 (col 81-112) else move PWAA-ADDR-3 (col 113-144). 
Write account to warning report. (MSGT = 5723)</t>
  </si>
  <si>
    <t xml:space="preserve">If PWSP file NFS-PWSP-PMT-TY-***-C (col 249-260) = A  and PWAA file NFS-PWAA-BNK-NM (col 241-272) is populated, move NFS-PWAA-ADDR-2 (col 81-112) to CDC-ALT-NALINE-3
Else
Move PWAA file NFS-PWAA-ADDR-3 (col 113-144)  to CDC-ALT-NALINE-3
If Beta CDC-ALT-NALINE-3 is not blank, print to warning report.
</t>
  </si>
  <si>
    <t xml:space="preserve">PER-AMP-MSI-SI-CHK-ADDR-TYPE (col 1301)
PER-AMP-MSI-SI-CHK-ADDR-LINE4 (col 1398-1429)
</t>
  </si>
  <si>
    <t>1. Initialize to low values.
If PWSP-PMT-TY-***-C = A (col 249-260) and PWAA-BNK-NM (col 241) is &gt; spaces move PWAA-ADDR-3 (col 113-144) else move PWAA-ADDR-4 (col 145-176).
Write account to warning report. (MSGT = 5724).</t>
  </si>
  <si>
    <t>1. Initialize to low values.
If PWSP-PMT-TY-***-C = A and PWAA-BNK-NM is &gt; spaces move PWAA-ADDR-3 else move PWAA-ADDR-4. 
Write account to warning report. (MSGT = 5724)</t>
  </si>
  <si>
    <t>1. Initialize to low values.
If PWSP-PMT-TY-***-C (col 249-260) = A and PWAA-BNK-NM (col 241-272) is &gt; spaces move PWAA-ADDR-3 (col 113-144) else move PWAA-ADDR-4 (col 145-176). 
Write account to warning report. (MSGT = 5724)</t>
  </si>
  <si>
    <t xml:space="preserve">If PWSP file NFS-PWSP-PMT-TY-***-C (col 249-260) = A and PWAA file NFS-PWSS-BNK-NM (col 241-272) is populated, move NFS-PWAA-ADDR-3 (col 113-144) to CDC-ALT-NALINE-4
Else
Move PWAA file NFS-PWAA-ADDR-4 (col 145-176) to CDC-ALT-NALINE-4
If Beta CDC-ALT-NALINE-4 is not blank, print to warning report.
</t>
  </si>
  <si>
    <t xml:space="preserve">PER-AMP-MSI-SI-CHK-ADDR-TYPE (col 1301)
PER-AMP-MSI-SI-CHK-ADDR-LINE5 (col 1430-1461)
</t>
  </si>
  <si>
    <t>1. Initialize to low values.
If PWSP-PMT-TY-***-C = A (col 249-260) and PWAA-BNK-NM (col 241) is &gt; spaces move PWAA-ADDR-4 (col 145-176) else move PWAA-ADDR-5 (col 177-208).
Write account to warning report.  (MSGT = 5725)</t>
  </si>
  <si>
    <t>1. Initialize to low values.
If PWSP-PMT-TY-***-C = A and PWAA-BNK-NM is &gt; spaces move PWAA-ADDR-4 else move PWAA-ADDR-5. 
Write account to warning report.  (MSGT = 5725)</t>
  </si>
  <si>
    <t>1. Initialize to low values.
If PWSP-PMT-TY-***-C (col 249-260) = A and PWAA-BNK-NM (col 241-272) is &gt; spaces move PWAA-ADDR-4 (col 145-176) else move PWAA-ADDR-5 (col 177-208). 
Write account to warning report.  (MSGT = 5725)</t>
  </si>
  <si>
    <t xml:space="preserve">If PWSP file NFS-PWSP-PMT-TY-***-C (col 249-260) = A and PWAA file NFS-PWAA-BNK-NM (col 241-272) is populated, move NFS-PWAA-ADDR-4 (col 145-176)  to CDC-ALT-NALINE-5
Else
Move PWAA file NFS-PWAA-ADDR-5 (col 177-208) to CDC-ALT-NALINE-5
If Beta CDC-ALT-NALINE-5 is not blank, print to warning report.
</t>
  </si>
  <si>
    <t xml:space="preserve">PER-AMP-MSI-SI-CHK-ADDR-TYPE (col 1301)
PER-AMP-MSI-SI-CHK-ADDR-LINE6 (col 1462-1493)
</t>
  </si>
  <si>
    <t>1. Initialize to low values.
If PWSP-PMT-TY-***-C = A (col 249-260) and PWAA-BNK-NM (col 241) is &gt; spaces move PWAA-ADDR-5 (col 177-208) else move PWAA-ADDR-6 (col 209-240).
Write account to warning report. (MSGT = 5726).</t>
  </si>
  <si>
    <t>1. Initialize to low values.
If PWSP-PMT-TY-***-C = A and PWAA-BNK-NM is &gt; spaces move PWAA-ADDR-5 else move PWAA-ADDR-6. 
Write account to warning report. (MSGT = 5726)</t>
  </si>
  <si>
    <t>1. Initialize to low values.
If PWSP-PMT-TY-***-C (col 249-260) = A and PWAA-BNK-NM (col 241-272) is &gt; spaces move PWAA-ADDR-5 (col 177-208) else move PWAA-ADDR-6 (col 209-240). 
Write account to warning report. (MSGT = 5726)</t>
  </si>
  <si>
    <t xml:space="preserve">If PWSPFILE  file NFS-PWSP-PMT-TY-***-C (col 249-260) = A and PWAA file NFS-PWAA-BNK-NM (col 241-272) is populated, Move  NFS-PWAA-ADDR-5 (col 177-208) to CDC-ALT-NALINE-6
Else
Move PWAA file NFS-PWAA-ADDR-6 (col 209-240) to CDC-ALT-NALINE-6
If Beta CDC-ALT-NALINE-6 is not blank, print to warning report.
</t>
  </si>
  <si>
    <t xml:space="preserve">Check trailer. Prints as the first line of description for retail accounts and the second line of description for retirement accounts.
</t>
  </si>
  <si>
    <t>Required for Retail accounts, Optional for IRA</t>
  </si>
  <si>
    <t xml:space="preserve">3. Move 'Principal Distribution'.
 </t>
  </si>
  <si>
    <t>2. Move 'Income Distribution'</t>
  </si>
  <si>
    <t xml:space="preserve">3. Move 'Principal Distribution'.
</t>
  </si>
  <si>
    <t>If CDC-DIV-CODE (Beg 650) is blank (CDC-JNL-ACCT (Beg 651) and CDC-ACH-ABA (Beg 678) are blank), move 'SYSTEMATIC CHECK'
If CDC-JNL-ACCT (Beg 651) is populated and CDC-DIV-CODE(Beg 650) is blank, move 'SYSTEMATIC JOURNAL'
If CDC-ACH-ABA (Beg 678) is populated and CDC-DIV-CODE (Beg 650) is blank,  move 'SYSTEMATIC ACH'</t>
  </si>
  <si>
    <t xml:space="preserve">If NAINST is not equal to I and
If Beta CDC-FREQUENCY  (Beg 26) = M, then set to “Monthly Distribution” or
If CDC-FREQUENCY  (Beg 26) = A , then set to “Annual Distribution”
or
If CDC-FREQUENCY  (Beg 26) = Q, then set to “Quarterly Distribution”
or
If CDC-FREQUENCY  (Beg 26) = S, then set to “Semi-Annual Distribution”
or
If CDC-FREQUENCY  (Beg 26) = W, then set to “Weekly Distribution”
or
If CDC-FREQUENCY  (Beg 26) = D, then set to “Daily Distribution”
or
If CDC-FREQUENCY  (Beg 26) = L, then set to “Monthly Distribution”
Else, default to “Principal Distribution”
</t>
  </si>
  <si>
    <t>Populate with description line from PECO code used in CDC-SOURCE.</t>
  </si>
  <si>
    <t xml:space="preserve">2. If NAINST (beg 413) = I, populate with description line from PECO code used in CDC-SOURCE (beg 232) using subroutine EB782011.   
Else refer to DESC Table.
</t>
  </si>
  <si>
    <t xml:space="preserve">1. If NAINST (beg 413) = I, populate with description line from PECO code used in CDC-SOURCE (beg 232) using subroutine EB782011.   
Else refer to DESC Table.
</t>
  </si>
  <si>
    <t>1. Set to run date of conversion</t>
  </si>
  <si>
    <t>Default to conversion date.</t>
  </si>
  <si>
    <t>1. Set to 'EDP'</t>
  </si>
  <si>
    <t>Default to EDP.</t>
  </si>
  <si>
    <t>1. Set to 'CONV'</t>
  </si>
  <si>
    <t>Default to CONV.</t>
  </si>
  <si>
    <t>IRA ONLY
SILO</t>
  </si>
  <si>
    <t>1.  If  DIST-CDC-WITH-CODE-2 is not spaces or zeroes, move NA-STATE-CODE from ACCT to DIST-CDC-STATE-CODE</t>
  </si>
  <si>
    <t>Determine from ACCT</t>
  </si>
  <si>
    <t>Determined from ACCT</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</si>
  <si>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</si>
  <si>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</si>
  <si>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 xml:space="preserve">Ignore
</t>
  </si>
  <si>
    <t>If BETA CDC-FREQUENCY (Beg 26) is populated with a ‘D’, ‘W’, ‘E’, or ‘M” mark with an X</t>
  </si>
  <si>
    <r>
      <t xml:space="preserve">1. Initialize to low values. 
If PWSP-PMT-TY-***-C = D (col 249-260) and PWSP-DIRC-BRCH-C (col 81-83) + PWSP-DIRC-BASE-C (col 84-89) is populated ,  use the ACCT DB to cross reference </t>
    </r>
    <r>
      <rPr>
        <sz val="9"/>
        <color rgb="FFFF0000"/>
        <rFont val="Arial"/>
        <family val="2"/>
      </rPr>
      <t>‘PU’</t>
    </r>
    <r>
      <rPr>
        <sz val="9"/>
        <color rgb="FF000000"/>
        <rFont val="Arial"/>
        <family val="2"/>
      </rPr>
      <t xml:space="preserve"> +  PWSP-DIRC-BRCH-C (col 81-83) + PWSP-DIRC-BASE-C (col 84-89) to populate this field with new BETA account number.</t>
    </r>
  </si>
  <si>
    <r>
      <t xml:space="preserve">1. Initialize to low values. 
If PWSP-PMT-TY-***-C = D (col 249-260) and PWSP-DIRC-BRCH-C (col 81-83) + PWSP-DIRC-BASE-C (col 84-89) is populated ,  use the ACCT DB to cross reference </t>
    </r>
    <r>
      <rPr>
        <b/>
        <sz val="9"/>
        <color rgb="FFFF0000"/>
        <rFont val="Arial"/>
        <family val="2"/>
      </rPr>
      <t>‘PU</t>
    </r>
    <r>
      <rPr>
        <sz val="9"/>
        <color rgb="FF000000"/>
        <rFont val="Arial"/>
        <family val="2"/>
      </rPr>
      <t>’ +  PWSP-DIRC-BRCH-C (col 81-83) + PWSP-DIRC-BASE-C (col 84-89) to populate this field with new BETA account number.</t>
    </r>
  </si>
  <si>
    <t xml:space="preserve">1. Initialize to low values.  
If PWSP-PMT-TY-***-C = D and PWSP-DIRC-BRCH-C + PWSP-DIRC-BASE-C is populated ,  use the ACCT DB to cross reference ‘CN’ +  PWSP-DIRC-BRCH-C + PWSP-DIRC-BASE-C to populate this field with new BETA account number.
</t>
  </si>
  <si>
    <t xml:space="preserve">1. Initialize to low values.  
If PWSP-PMT-TY-***-C (col 249-260) = D and PWSP-DIRC-BRCH-C (col 81-83) + PWSP-DIRC-BASE-C (col 84-89) is populated , use the ACCT DB to cross reference ‘SH’ +  PWSP-DIRC-BRCH-C (col 81-83) + PWSP-DIRC-BASE-C (col 84-89) to populate this field with new BETA account number.
</t>
  </si>
  <si>
    <t>If PWSP file NFS-PWSP-PMT-TY-***-C (col 249-260) = D and CDC-SOURCE is equal to “JNL”, then convert PWSP file NFS-PWSP-DIRC-BRCH-C (col 81-83) and NFS-PWSP-DIRC-BASE-C (col 84-89) + “FM” prefix to convert to BETA acct #</t>
  </si>
  <si>
    <t>If PWSP file NFS-PWSP-PMT-TY-***-C (col 249-260) = D and CDC-SOURCE is equal to JNL, then convert PWSP file NFS-PWSP-DIRC-BRCH-C (col 81-83) and NFS-PWSP-DIRC-BASE-C (col 84-89) + FM prefix to convert to BETA acct #</t>
  </si>
  <si>
    <t xml:space="preserve">Initialize to low values.  
If PWSP-PMT-TY-***-C = D and PWSP-DIRC-BRCH-C + PWSP-DIRC-BASE-C is populated ,  use the ACCT DB to cross reference ‘MW’ +  PWSP-DIRC-BRCH-C + PWSP-DIRC-BASE-C to populate this field with new BETA account number.
</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</si>
  <si>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</si>
  <si>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1.  Initialize to low values. 
If CDC-FREQUENCY (beg 239) is populated move 'X'.  </t>
  </si>
  <si>
    <t xml:space="preserve">Ignore
.
</t>
  </si>
  <si>
    <t xml:space="preserve">Other income indicator                                              X = Income generated with source codes other than the usual dividend and interest codes will either be added to dividend/interest balanceon CLED or the VAR-AMT field on DIST and paid out according to the FREQ  field  on DIST.
</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</si>
  <si>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</si>
  <si>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 
If PWSP-PMT-TY-***-C = D (col 249-260), move 1</t>
  </si>
  <si>
    <t>1.  initialize to low values.  
If PWSP-PMT-TY-***-C = D, move 1</t>
  </si>
  <si>
    <t>1.  initialize to low values.  
If CDC-JNL-ACCT (Beg 651) is &gt; 0, move 1</t>
  </si>
  <si>
    <t>If BETA field CDC-JNL-ACCT (Beg 470) is populated, then default to ‘1’, else ignore.</t>
  </si>
  <si>
    <t>1.  initialize to low values.  
If CDC-JNL-ACCT (beg 651) is &gt; 0, move 1</t>
  </si>
  <si>
    <r>
      <t>Update to Option #2:
2. Initialize to low values
If CDC-JNL-ACCT (beg 651) &gt; zero's and NAINST (beg 413) of CDC-JCL-ACCT = I, move '</t>
    </r>
    <r>
      <rPr>
        <strike/>
        <sz val="9"/>
        <color rgb="FF000000"/>
        <rFont val="Arial"/>
        <family val="2"/>
      </rPr>
      <t xml:space="preserve">REG' </t>
    </r>
    <r>
      <rPr>
        <sz val="9"/>
        <color rgb="FFFF0000"/>
        <rFont val="Arial"/>
        <family val="2"/>
      </rPr>
      <t xml:space="preserve"> </t>
    </r>
    <r>
      <rPr>
        <b/>
        <sz val="9"/>
        <color rgb="FFFF0000"/>
        <rFont val="Arial"/>
        <family val="2"/>
      </rPr>
      <t>'IRACC</t>
    </r>
    <r>
      <rPr>
        <sz val="9"/>
        <color rgb="FF000000"/>
        <rFont val="Arial"/>
        <family val="2"/>
      </rPr>
      <t>'
If CDC-JNL-ACCT (beg 651) &gt; zero's and NAINST (beg 413) of CDC-JCL-ACCT not = I, move 'JNL'</t>
    </r>
  </si>
  <si>
    <t>1.  Initialize to low values. 
If PWSP-PMT-TY-***-C = D (col 249-260), move 'JNL'</t>
  </si>
  <si>
    <t>2. Initialize to low values
If CDC-JNL-ACCT (beg 651) &gt; zero's and NAINST (beg 413) of CDC-JCL-ACCT = I, move 'REG'
If CDC-JNL-ACCT (beg 651) &gt; zero's and NAINST (beg 413) of CDC-JCL-ACCT not = I, move 'JNL'</t>
  </si>
  <si>
    <t>1.  initialize to low values.  
If PWSP-PMT-TY-***-C = D, move 'JNL'</t>
  </si>
  <si>
    <t xml:space="preserve">Intialize to low values
If CDC-JNL-ACCT (Beg 651) is greater than zero and NAINST (Beg 413)  = I, move REG
If CDC-JNL-ACCT (Beg 651) is greater than zero and NAINST (Beg 413) not equal to I, move JNL </t>
  </si>
  <si>
    <t>If BETA field CDC-JNL-ACCT (Beg 470) is populated, then default to ‘JNL’, else ignore.</t>
  </si>
  <si>
    <t>1.  initialize to low values.  
If CDC-JNL-ACCT (beg 651) is &gt; 0, move 'JNL'</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</si>
  <si>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</si>
  <si>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</si>
  <si>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</si>
  <si>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</si>
  <si>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</si>
  <si>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</si>
  <si>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2. Initialize to low values.
If CDC-DIV-CODE (beg 469) = X, move X</t>
  </si>
  <si>
    <t>2.  Initialize to low values.  
If CDC-DIV-CODE (beg 650) = X, move X.</t>
  </si>
  <si>
    <t xml:space="preserve">Money market fund interest indicator.
(Not currently used)                                                              
</t>
  </si>
  <si>
    <t> </t>
  </si>
  <si>
    <t>CDC-ACH-ABA</t>
  </si>
  <si>
    <t>1. Initialize to low values.
If PWSP-PMT-TY-***-C = E (col 249-260):  join files using PWSP-PLN-ID (col 1-9)and PWSP-PLN-SQ-N (col 11-12),  PWFU-PLN-ID (col 1-9) and PWFU-PLN-SQ-N (col 11-12), retrieve PWFU-EFT-SUFX (col 42-43).
Using PWFU-PLN-ID (col 1-9) + PWFU-EFT-SUFX (col 42-43), cross-reference those values to ICP-ES-STG-INSN-ID (col 10-29) to find corresponding  record, move ICP-ES-ABA-ID (col 901-909) if &gt; 0.</t>
  </si>
  <si>
    <t>1. Initialize to low values.
If ICP-ES-SI-TYPE = ES (col 8-9), move ICP-ES-ABA-ID (col 901-909) if &gt; 0.</t>
  </si>
  <si>
    <t xml:space="preserve">1. Initialize to low values. 
If PWSP-PMT-TY-***-C = E:  join files using PWSP-PLN-ID and PWSP-PLN-SQ-N,  PWFU-PLN-ID and PWFU-PLN-SQ-N, retrieve PWFU-EFT-SUFX. 
Using PWFU-PLN-ID + PWFU-EFT-SUFX, cross-reference those values to ICP-ES-STG-INSN-ID to find corresponding  record, move ICP-ES-ABA-ID if &gt; 0
</t>
  </si>
  <si>
    <t>1. Initialize to low values. 
If ES-SI-TYPE = ES, move ICP-ES-ABA-ID if &gt; 0</t>
  </si>
  <si>
    <t xml:space="preserve">1. Initialize to low values. 
If PWSP-PMT-TY-***-C (col 249-260) = E: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</si>
  <si>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 NFS-PWFU-EFT-SUFX (col 42-43), cross-reference those values to the ICP file NFS-ICP-ES-STG-INSN-ID (col 10-29) to find corresponding  record and retrieve then populate NFS-ICP-ES-ABA-ID (col 901-909).
</t>
  </si>
  <si>
    <t xml:space="preserve">If ICP file NFS-ICP-ES-SI-TYPE (col 8-9) = ES, convert NFS-ICP-ES-ABA-ID (col 901-909)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</si>
  <si>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</si>
  <si>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1. Initialize to low values.  
If CDC-ACH-ABA (beg 678) is &gt; 0 and ICP-ES-SI-TYPE = ES (col 8-9), move ICP-ES-BEN-ACC-ID (col 1022-1038).</t>
  </si>
  <si>
    <t>1. initialize to low values.   
If CDC-ACH-ABA (beg 678) is &gt; 0 and if PWSP-PMT-TY-***-C = E:  join files using PWSP-PLN-ID and PWSP-PLN-SQ-N,  PWFU-PLN-ID and PWFU-PLN-SQ-N, retrieve PWFU-EFT-SUFX. 
Using PWFU-PLN-ID + PWFU-EFT-SUFX, cross-reference those values to ICP-ES-STG-INSN-ID to find corresponding  record, move ICP-ES-BEN-ACC-ID</t>
  </si>
  <si>
    <t xml:space="preserve">1. initialize to low values.   
If CDC-ACH-ABA (beg 678) is &gt; 0 and ES-SI-TYPE = ES, move NFS-ICP-ES-BEN-ACC-ID </t>
  </si>
  <si>
    <t>1. Initialize to low values.   
If PWSP-PMT-TY-***-C (col 249-260) = E: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</si>
  <si>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NFS-ICP-ES-BEN-ACC-ID (col 1022-1038).
</t>
  </si>
  <si>
    <t>If ICP file NFS-ICP-ES-SI-TYPE (col 8-9) = ES, convert NFS-ICP-ES-BEN-ACC-ID (col 1022-1038)</t>
  </si>
  <si>
    <t>Bank account type indicator 
Valid values:                                               
C- Checking 
S- Savings</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</si>
  <si>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</si>
  <si>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1. Initialize to low values.  
If CDC-ACH-ABA (beg 678) is &gt; 0 and ICP-ES-SI-TYPE = ES (col 8-9), move ICP-ES-BEN-ACC-TY-C (col 1039).</t>
  </si>
  <si>
    <t>1. initialize to low values.   
If CDC-ACH-ABA (beg 678) is &gt; 0 and if PWSP-PMT-TY-***-C = E:  join files using PWSP-PLN-ID and PWSP-PLN-SQ-N,  PWFU-PLN-ID and PWFU-PLN-SQ-N, retrieve PWFU-EFT-SUFX. 
Using PWFU-PLN-ID + PWFU-EFT-SUFX, cross-reference those values to ICP-ES-STG-INSN-ID to find corresponding  record, move ICP-ES-BEN-ACC-TY-C</t>
  </si>
  <si>
    <t>1. initialize to low values.   
If CDC-ACH-ABA (beg 678) is &gt; 0 and ES-SI-TYPE = ES, move ICP-ES-BEN-ACC-TY-C</t>
  </si>
  <si>
    <t>1. Initialize to low values.   
If PWSP-PMT-TY-***-C (col 249-260) = E: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</si>
  <si>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NFS-ICP-ES-BEN-ACC-TY-C (col 1039).
</t>
  </si>
  <si>
    <t xml:space="preserve">ICP file NFS-ICP-ES-SI-TYPE (col 8-9) = ES, convert NFS-ICP-ES-BEN-ACC-TY-C (col 1039) as follows:
NFS                      BETA
C=Checking           C
S=Savings              S
</t>
  </si>
  <si>
    <t>2. Initialize to low values.
If CDC-ACH-ABA (beg 504) is numeric and greater than zero and PWSP-PMT-TY-***-C = E
   move NA-KEY1 (beg 235-258)
else
if NFS-ICP-ES-BEN-NM (col 1000-1021) not equal to spaces
  Move NFS-ICP-ES-BEN-NM (col 1000-1021).</t>
  </si>
  <si>
    <t>2. Initialize to low values.
If CDC-ACH-ABA (beg 504) is numeric and greater than zero and ES-SI-TYPE = ES,
   move NA-KEY1 (beg 235-258)
else
if NFS-ICP-ES-BEN-NM (col 1000-1021) not equal to spaces
  Move NFS-ICP-ES-BEN-NM (col 1000-1021).</t>
  </si>
  <si>
    <t xml:space="preserve">2. Initialize to low values. 
If CDC-ACH-ABA (beg 504) is numeric and greater than zero and PWSP-PMT-TY-***-C = E
   move NA-KEY1 (beg 235-258) 
else
if NFS-ICP-ES-BEN-NM (col 1000-1021) not equal to spaces
  Move NFS-ICP-ES-BEN-NM (col 1000-1021).
</t>
  </si>
  <si>
    <t xml:space="preserve">2. Initialize to low values. 
If CDC-ACH-ABA (beg 504) is numeric and greater than zero and ES-SI-TYPE = ES,
   move NA-KEY1 (beg 235-258) 
else
if NFS-ICP-ES-BEN-NM (col 1000-1021) not equal to spaces
  Move NFS-ICP-ES-BEN-NM (col 1000-1021).
</t>
  </si>
  <si>
    <t>1. Initialize to low values. 
If CDC-ACH-ABA (Beg 678) is &gt; 0, move ‘NA-KEY1’ (Beg 235-258) from ACCT.</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</si>
  <si>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NFS-ICP-ES-BEN-NM (col 1000-1021).
</t>
  </si>
  <si>
    <t>If CDC-ACH-ABA (Beg 504) is populated, always populate with KEY1 from ACCT.</t>
  </si>
  <si>
    <t>1. initialize to low values.   
If CDC-ACH-ABA (beg 678) is &gt; 0 and if PWSP-PMT-TY-***-C = E:  join files using PWSP-PLN-ID and PWSP-PLN-SQ-N,  PWFU-PLN-ID and PWFU-PLN-SQ-N, retrieve PWFU-EFT-SUFX. 
Using PWFU-PLN-ID + PWFU-EFT-SUFX, cross-reference those values to ICP-ES-STG-INSN-ID to find corresponding  record, move ICP-ES-BEN-NM</t>
  </si>
  <si>
    <t>1. Initialize to low values. 
If CDC-ACH-ABA (beg 678) is &gt; 0, move ‘NA-KEY1’ (beg 235-258) from ACCT.</t>
  </si>
  <si>
    <t>FARM CASH 
ACH MAIL ADV DEFAULT</t>
  </si>
  <si>
    <r>
      <t xml:space="preserve">1. Initialize to low values.
If CDC-ACH-ABA (beg 678) is &gt; 0 and if PWSP-PMT-TY-***-C = E (col 249-260),  move </t>
    </r>
    <r>
      <rPr>
        <strike/>
        <sz val="9"/>
        <color rgb="FF000000"/>
        <rFont val="Arial"/>
        <family val="2"/>
      </rPr>
      <t>'Y'</t>
    </r>
    <r>
      <rPr>
        <sz val="9"/>
        <color rgb="FF000000"/>
        <rFont val="Arial"/>
        <family val="2"/>
      </rPr>
      <t xml:space="preserve"> </t>
    </r>
    <r>
      <rPr>
        <sz val="9"/>
        <color rgb="FFFF0000"/>
        <rFont val="Arial"/>
        <family val="2"/>
      </rPr>
      <t>'N'.</t>
    </r>
  </si>
  <si>
    <r>
      <t>1. Initialize to low values.
If CDC-ACH-ABA (beg 678) is &gt; 0 and if PWSP-PMT-TY-***-C = E (col 249-260),  move '</t>
    </r>
    <r>
      <rPr>
        <strike/>
        <sz val="9"/>
        <color rgb="FF000000"/>
        <rFont val="Arial"/>
        <family val="2"/>
      </rPr>
      <t>Y'</t>
    </r>
    <r>
      <rPr>
        <sz val="9"/>
        <color rgb="FF000000"/>
        <rFont val="Arial"/>
        <family val="2"/>
      </rPr>
      <t xml:space="preserve"> </t>
    </r>
    <r>
      <rPr>
        <sz val="9"/>
        <color rgb="FFFF0000"/>
        <rFont val="Arial"/>
        <family val="2"/>
      </rPr>
      <t>'N'.</t>
    </r>
  </si>
  <si>
    <t>1. Initialize to low values. 
If CDC-ACH-ABA (beg 678) is &gt; 0 and if PWSP-PMT-TY-***-C = E,  move 'Y'.</t>
  </si>
  <si>
    <t>1. Initialize to low values. 
If CDC-ACH-ABA (Beg 678) is &gt; 0,  move 'N'.</t>
  </si>
  <si>
    <t>If CDC-ACH-ABA (Beg 504) is populated, always populate with N.</t>
  </si>
  <si>
    <t>1. Initialize to low values. 
If CDC-ACH-ABA (beg 678) is &gt; 0,  move 'N'.</t>
  </si>
  <si>
    <t xml:space="preserve">1. Initialize to low values.
If CDC-ACH-ABA (beg 678) is &gt; 0, set to first business day after Financial conversion. </t>
  </si>
  <si>
    <t xml:space="preserve">1. Initialize to low values. 
If CDC-ACH-ABA (Beg 678) is &gt; 0, set to first business day after Financial conversion. </t>
  </si>
  <si>
    <t>If CDC-ACH-ABA (Beg 504) is populated, default to Monday after financial conversion (09/23/13).</t>
  </si>
  <si>
    <t xml:space="preserve">Tax identification number format
Valid values:
blank - SSN
X = EIN       
</t>
  </si>
  <si>
    <t>1. If NAINST (Beg 413) = I and NAIDFORMAT (Beg 379) from ACCT = '-' move 'X' else move space.</t>
  </si>
  <si>
    <t>1. If NAINST (beg 413) = I and NAIDFORMAT (beg 379) from ACCT = '-' move 'X' else move space.</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</si>
  <si>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</si>
  <si>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</si>
  <si>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t xml:space="preserve">1. Initialize to low values. 
If CDC-ACH-ABA (Beg 678) &gt; 0, move 0 </t>
  </si>
  <si>
    <t>From corresponding ABAM record</t>
  </si>
  <si>
    <t xml:space="preserve">1. Initialize to low values. 
If CDC-ACH-ABA (beg 678) &gt; 0, move 0 </t>
  </si>
  <si>
    <t>1. Initialize to low values. 
If CDC-ACH-ABA (beg 678) &gt; 0, move 0</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</si>
  <si>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</si>
  <si>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Controls prenotes - must be set to low values to prohibit prenotes to be sent at conversion</t>
  </si>
  <si>
    <t>Default to low values</t>
  </si>
  <si>
    <t>2. Move 013</t>
  </si>
  <si>
    <t>2. Move CDC-ACCT (beg 205)</t>
  </si>
  <si>
    <t xml:space="preserve">Maturity.
Valid values:
Blank- Do not capture the principle payments on maturing securities.
R = Capture for tonight's processing, from the real time system.
X = Capture for the next processing cycle.
</t>
  </si>
  <si>
    <t>1. Move 'EDP'</t>
  </si>
  <si>
    <t>1. Generated to 'DISTBLSV'</t>
  </si>
  <si>
    <t>1. Generated to 'EDP'</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</si>
  <si>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</si>
  <si>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Required if ALTERNATE NAME&amp;ADDR fields are populated</t>
  </si>
  <si>
    <t>1. Initialize to low values. 
If PWSP-PMT-TY-***-C = A (col 249-260), move 'H'.</t>
  </si>
  <si>
    <t>1. Initialize to low values. 
If PWSP-PMT-TY-***-C = A (col 249-260), move 'H'</t>
  </si>
  <si>
    <r>
      <t xml:space="preserve">1. initialize to low values.  
If  If PWSP-PMT-TY-***-C = A, move </t>
    </r>
    <r>
      <rPr>
        <sz val="9"/>
        <color indexed="10"/>
        <rFont val="Arial"/>
        <family val="2"/>
      </rPr>
      <t>'H'</t>
    </r>
  </si>
  <si>
    <r>
      <t>1. initialize to low values.  
If  If PWSP-PMT-TY-***-C = A, move</t>
    </r>
    <r>
      <rPr>
        <sz val="9"/>
        <color indexed="10"/>
        <rFont val="Arial"/>
        <family val="2"/>
      </rPr>
      <t xml:space="preserve"> 'H'</t>
    </r>
  </si>
  <si>
    <t>1. Initialize to low values.  
If CDC-ALT-NALINE-1 (Beg 323) &gt; space
move 'B'</t>
  </si>
  <si>
    <t>Default to A</t>
  </si>
  <si>
    <t>1. initialize to low values.  
If CDC-ALT-NALINE-1 (beg 323) &gt; space
move 'A'</t>
  </si>
  <si>
    <t>NOTE: Required if CDC-ABA field is populated</t>
  </si>
  <si>
    <t>2. Initialize to low values.
If PWSP-PMT-TY-***-C = E (col 249-260), move 'H'</t>
  </si>
  <si>
    <t>2. Initialize to low values.
If ICP-ES-SI-TYPE = ES (col 8-9),  move 'H'.</t>
  </si>
  <si>
    <t>1. Initialize to low values.
If PWSP-PMT-TY-***-C = E, move 'H'</t>
  </si>
  <si>
    <t>1. Initialize to low values.
If ES-SI-TYPE = ES,  move 'H'</t>
  </si>
  <si>
    <t>1. Initialize to low values.
If CDC-ACH-ABA (Beg 678) is &gt; 0 move 'B'</t>
  </si>
  <si>
    <t>If BETA field CDC-ACH-ABA is populated, default to A.</t>
  </si>
  <si>
    <t>1. Initialize to low values.
If CDC-ACH-ABA (beg 678) is &gt; 0 move 'A'</t>
  </si>
  <si>
    <t xml:space="preserve">TOB  </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</si>
  <si>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</si>
  <si>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</si>
  <si>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r>
      <t>Update to Option #1:
1. Initialize to low values.</t>
    </r>
    <r>
      <rPr>
        <sz val="9"/>
        <rFont val="Arial"/>
        <family val="2"/>
      </rPr>
      <t xml:space="preserve"> 
If CDC-JNL-ACCT (beg 651) is &gt; 0
and if PWSP-PMT-TY-***-C  = D (249-260) and </t>
    </r>
    <r>
      <rPr>
        <strike/>
        <sz val="9"/>
        <rFont val="Arial"/>
        <family val="2"/>
      </rPr>
      <t>CDC-SOURCE (beg 232 )</t>
    </r>
    <r>
      <rPr>
        <sz val="9"/>
        <rFont val="Arial"/>
        <family val="2"/>
      </rPr>
      <t xml:space="preserve"> </t>
    </r>
    <r>
      <rPr>
        <b/>
        <sz val="9"/>
        <color rgb="FFFF0000"/>
        <rFont val="Arial"/>
        <family val="2"/>
      </rPr>
      <t xml:space="preserve">
CDC-JNL-SOURCE (beg 665)</t>
    </r>
    <r>
      <rPr>
        <sz val="9"/>
        <rFont val="Arial"/>
        <family val="2"/>
      </rPr>
      <t xml:space="preserve"> = JNL </t>
    </r>
    <r>
      <rPr>
        <b/>
        <sz val="9"/>
        <color rgb="FFFF0000"/>
        <rFont val="Arial"/>
        <family val="2"/>
      </rPr>
      <t>or IRACC</t>
    </r>
    <r>
      <rPr>
        <sz val="9"/>
        <rFont val="Arial"/>
        <family val="2"/>
      </rPr>
      <t>, move 'H'</t>
    </r>
  </si>
  <si>
    <r>
      <t>Update to Option #1:
1. Initialize to low values.</t>
    </r>
    <r>
      <rPr>
        <sz val="9"/>
        <rFont val="Arial"/>
        <family val="2"/>
      </rPr>
      <t xml:space="preserve"> 
If CDC-JNL-ACCT (beg 651) is &gt; 0
and if PWSP-PMT-TY-***-C  = D (249-260) and </t>
    </r>
    <r>
      <rPr>
        <strike/>
        <sz val="9"/>
        <rFont val="Arial"/>
        <family val="2"/>
      </rPr>
      <t>CDC-SOURCE (beg 232 )</t>
    </r>
    <r>
      <rPr>
        <sz val="9"/>
        <rFont val="Arial"/>
        <family val="2"/>
      </rPr>
      <t xml:space="preserve"> </t>
    </r>
    <r>
      <rPr>
        <b/>
        <sz val="9"/>
        <color rgb="FFFF0000"/>
        <rFont val="Arial"/>
        <family val="2"/>
      </rPr>
      <t xml:space="preserve">
CDC-JNL-SOURCE (beg 665)</t>
    </r>
    <r>
      <rPr>
        <sz val="9"/>
        <rFont val="Arial"/>
        <family val="2"/>
      </rPr>
      <t xml:space="preserve"> = JNL </t>
    </r>
    <r>
      <rPr>
        <b/>
        <sz val="9"/>
        <color rgb="FFFF0000"/>
        <rFont val="Arial"/>
        <family val="2"/>
      </rPr>
      <t>or IRACC,</t>
    </r>
    <r>
      <rPr>
        <sz val="9"/>
        <rFont val="Arial"/>
        <family val="2"/>
      </rPr>
      <t xml:space="preserve"> move 'H'</t>
    </r>
  </si>
  <si>
    <t xml:space="preserve">1. Initialize to low values.  
If CDC-JNL-ACCT (beg 651) is &gt; 0 
and if PWSP-PMT-TY-***-C  = D and CDC-SOURCE (beg 232 ) = JNL, REG, PREM, DEC2, PREM or WTRF, move 'H'
</t>
  </si>
  <si>
    <t xml:space="preserve">1. Initialize to low values.  
If CDC-JNL-ACCT (Beg 651) is &gt; 0 
and if PWSP-PMT-TY-***-C  (col 249-260) = D and CDC-SOURCE (Beg 232 ) = JNL, move 'B'
</t>
  </si>
  <si>
    <t xml:space="preserve">If PWSP file NFS-PWSP-PMT-TY-***-C (col 249-260) = D and CDC-SOURCE is equal to JNL, then set to “H”, else, ignore. </t>
  </si>
  <si>
    <t xml:space="preserve">1. initialize to low values.  
If CDC-JNL-ACCT (beg 651) is &gt; 0 
and if PWSP-PMT-TY-***-C  = D and CDC-SOURCE (beg 232 ) = JNL, move 'H'
</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</si>
  <si>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</si>
  <si>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IRA ONLY
MDRO conversion is a contingency else the RMD-IND field must be set to low values</t>
  </si>
  <si>
    <t>1. Default to '1'</t>
  </si>
  <si>
    <t>Default to 1.</t>
  </si>
  <si>
    <t>System generated.</t>
  </si>
  <si>
    <t>Date on which the variable amount was updated.  Not for conversion.
(Not currently used)</t>
  </si>
  <si>
    <t>Required if CDC-FREQUENCY = E.  
'DAY' must be greater than the 'day' in CDC-BEGIN-CYMD (beg 29)</t>
  </si>
  <si>
    <t xml:space="preserve">1.  Initialize to low values. </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</si>
  <si>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</si>
  <si>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1.  Initialize to low values.
If CDC-ACH-ABA (Beg 678) is &gt; 0, set to N.</t>
  </si>
  <si>
    <t>If CDC-ACH-ABA (Beg 504) from DIST mappings is &gt;0, then default to ‘PPD’, else move spaces.</t>
  </si>
  <si>
    <t xml:space="preserve">Source of ACH Transaction 
Valid values:
EFT
WEB
IVR
Default = EFT
</t>
  </si>
  <si>
    <t>1.  Initialize to low values.
If CDC-ACH-ABA (Beg 678) is &gt; 0, set to EFT.</t>
  </si>
  <si>
    <t>If CDC-ACH-ABA (Beg 504) from DIST mappings is &gt;0, then default to ‘EFT’, else move spaces.</t>
  </si>
  <si>
    <t>Default to spaces</t>
  </si>
  <si>
    <t xml:space="preserve">Number of state allowances claimed by the customer.
(not currently used)
</t>
  </si>
  <si>
    <t>Default to  0.00</t>
  </si>
  <si>
    <t>Controls prenotes - must be set to Initialize to low values to prohibit prenotes to be sent at conversion</t>
  </si>
  <si>
    <t>2.  If  DIST-CDC-WITH-CODE-2 (Beg 299) is not spaces or zeroes, From ACCT Adds After file, move NA-STATE-CODE (Beg 369-370).</t>
  </si>
  <si>
    <t>Roth</t>
  </si>
  <si>
    <t>ACH (Direct Payee)</t>
  </si>
  <si>
    <r>
      <t>1. Initialize to low values.  
If PWSP-PMT-TY-***-C = D (col 249-260) and PWSP-DIRC-BRCH-C (col 81-83) + PWSP-DIRC-BASE-C (col 84-89) is populated ,  use the ACCT DB to cross reference ‘</t>
    </r>
    <r>
      <rPr>
        <sz val="9"/>
        <color rgb="FFFF0000"/>
        <rFont val="Arial"/>
        <family val="2"/>
      </rPr>
      <t>??</t>
    </r>
    <r>
      <rPr>
        <sz val="9"/>
        <color theme="1"/>
        <rFont val="Arial"/>
        <family val="2"/>
      </rPr>
      <t xml:space="preserve">’ +  PWSP-DIRC-BRCH-C (col 81-83) + PWSP-DIRC-BASE-C (col 84-89) to populate this field with new BETA account number.
</t>
    </r>
  </si>
  <si>
    <r>
      <t>1. Initialize to low values. 
If CDC-ACH-ABA (beg 678) is &gt; 0 and if PWSP-PMT-TY-***-C = E (col 249-260),  move '</t>
    </r>
    <r>
      <rPr>
        <sz val="9"/>
        <color rgb="FFFF0000"/>
        <rFont val="Arial"/>
        <family val="2"/>
      </rPr>
      <t>?</t>
    </r>
    <r>
      <rPr>
        <sz val="9"/>
        <color theme="1"/>
        <rFont val="Arial"/>
        <family val="2"/>
      </rPr>
      <t>'.</t>
    </r>
  </si>
  <si>
    <t>2. If  DIST-CDC-WITH-CODE-2 (Beg 299) is not spaces or zeroes, From ACCT Adds After file, move NA-STATE-CODE (Beg 369-370).</t>
  </si>
  <si>
    <t>1.  Initialize to low values.  
If PWSP-PMT-TY-***-C = D (col 249-260), move 'JNL'</t>
  </si>
  <si>
    <t>2. Initialize to low values.
If CDC-ACH-ABA (beg 504) is numeric and greater than zero and PWSP-PMT-TY-***-C = E (col 249-260),
   move NA-KEY1 (beg 235-258)
else
if NFS-ICP-ES-BEN-NM (col 1000-1021) not equal to spaces
  Move NFS-ICP-ES-BEN-NM (col 1000-1021).</t>
  </si>
  <si>
    <t>1. Initialize to low values. 
If CDC-ACH-ABA (beg 678) is &gt; 0 and if PWSP-PMT-TY-***-C = E (col 249-260),  move 'Y'.</t>
  </si>
  <si>
    <t>1. Initialize to low values. 
If CDC-JNL-ACCT (beg 651) is &gt; 0
and if PWSP-PMT-TY-***-C  = D (249-260) and CDC-JNL-SOURCE (beg 665) = JNL or IRACC, move 'H'</t>
  </si>
  <si>
    <t>File Relationship:</t>
  </si>
  <si>
    <r>
      <rPr>
        <b/>
        <sz val="11"/>
        <color theme="1"/>
        <rFont val="Calibri"/>
        <family val="2"/>
        <scheme val="minor"/>
      </rPr>
      <t xml:space="preserve">This is the Driver file.  </t>
    </r>
    <r>
      <rPr>
        <sz val="11"/>
        <color theme="1"/>
        <rFont val="Calibri"/>
        <family val="2"/>
        <scheme val="minor"/>
      </rPr>
      <t>Sort off any duplicate account/seq no records from the PWFU file by (PLN-ID + PLN-SQ-N + EFT-SUFX).  
If only 1 PWSP record exists but there are multiple unique records on the PWFU file, use the 1st record to match to ICP file.   If there is no match, convert DIST record without ACH instructions (ICP)</t>
    </r>
  </si>
  <si>
    <t>This is joined with PWSP by PLN-ID, PLN-KY-TY, and PLN-SQ-N on both files.</t>
  </si>
  <si>
    <t>This is joined with the other files PLN-ID AND PLN-SQ-N on both files.</t>
  </si>
  <si>
    <t>This is joined with the above to files where ICP-ES-STG-INSN-ID = PWFU-PLN-ID + PWFU-EFT-SUFX from PWFU.
Only ICP-ES-SI-TYPE (col 8-9) = ES will be used.  It is sorted by ICP-ES-CRTE-T (pos. 90-115), descending, so if duplicates, the greatest date will be used.
After this join, the PWFU data is dropped from the conversion (not available for mapping).</t>
  </si>
  <si>
    <t>1. Initialize to low values.
If CDC-JNL-ACCT (beg 651) is &gt; 0
and if PWSP-PMT-TY-***-C  = D (249-260) and CDC-JNL-SOURCE (beg 665) = JNL or IRACC, move 'H'</t>
  </si>
  <si>
    <t>1. Initialize to low values.
If PWSP-PMT-TY-***-C = A (col 249-260), move 'H'</t>
  </si>
  <si>
    <t>1. Initialize to low values.
If PWSP-PMT-TY-***-C = A (col 249-260), move 'H'.</t>
  </si>
  <si>
    <r>
      <rPr>
        <b/>
        <u/>
        <sz val="9"/>
        <rFont val="Arial"/>
        <family val="2"/>
      </rPr>
      <t>New Option #1</t>
    </r>
    <r>
      <rPr>
        <sz val="9"/>
        <rFont val="Arial"/>
        <family val="2"/>
      </rPr>
      <t xml:space="preserve">
1. Move spaces. </t>
    </r>
  </si>
  <si>
    <t>2. Move Financial Date.</t>
  </si>
  <si>
    <t>1. Initialize to low values.
If CDC-ACH-ABA (beg 678) is &gt; 0 and if PWSP-PMT-TY-***-C = E (col 249-260),  move 'Y'.</t>
  </si>
  <si>
    <t xml:space="preserve">1. Initialize to low values. 
If ICP-ES-SI-TYPE = ES (col 8-9), move ICP-ES-ABA-ID (col 901-909) if &gt; 0.
</t>
  </si>
  <si>
    <r>
      <t xml:space="preserve">1.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t>
    </r>
    <r>
      <rPr>
        <sz val="9"/>
        <color rgb="FFFF0000"/>
        <rFont val="Arial"/>
        <family val="2"/>
      </rPr>
      <t xml:space="preserve">Warning Report: 'Yes'
PWSP-PMT-TY-***C (col 249-260) = 'S' 
</t>
    </r>
  </si>
  <si>
    <t xml:space="preserve">1.  Initialize to low values.
If CDC-FREQUENCY (beg 239) is populated move 'X'.  </t>
  </si>
  <si>
    <t>1. Initialize to low values. 
If PWSP-PMT-TY-***-C = D (col 249-260) and PWSP-DIRC-BRCH-C (col 81-83) + PWSP-DIRC-BASE-C (col 84-89) is populated ,  use the ACCT DB to cross reference ‘MR’ +  PWSP-DIRC-BRCH-C (col 81-83) + PWSP-DIRC-BASE-C (col 84-89) to populate this field with new BETA account number.</t>
  </si>
  <si>
    <r>
      <t>1. Initialize to low values.  
If PWSP-PMT-TY-***-C = D (col 249-260) and PWSP-DIRC-BRCH-C (col 81-83) + PWSP-DIRC-BASE-C (col 84-89) is populated ,  use the ACCT DB to cross reference ‘</t>
    </r>
    <r>
      <rPr>
        <sz val="9"/>
        <color rgb="FFFF0000"/>
        <rFont val="Arial"/>
        <family val="2"/>
      </rPr>
      <t>PR</t>
    </r>
    <r>
      <rPr>
        <sz val="9"/>
        <color theme="1"/>
        <rFont val="Arial"/>
        <family val="2"/>
      </rPr>
      <t xml:space="preserve">’ +  PWSP-DIRC-BRCH-C (col 81-83) + PWSP-DIRC-BASE-C (col 84-89) to populate this field with new BETA account number.
</t>
    </r>
  </si>
  <si>
    <r>
      <t>1. Initialize to low values.  
If PWSP-PMT-TY-***-C = D (col 249-260) and PWSP-DIRC-BRCH-C (col 81-83) + PWSP-DIRC-BASE-C (col 84-89) is populated ,  use the ACCT DB to cross reference ‘</t>
    </r>
    <r>
      <rPr>
        <sz val="9"/>
        <color rgb="FFFF0000"/>
        <rFont val="Arial"/>
        <family val="2"/>
      </rPr>
      <t>PR’</t>
    </r>
    <r>
      <rPr>
        <sz val="9"/>
        <color theme="1"/>
        <rFont val="Arial"/>
        <family val="2"/>
      </rPr>
      <t xml:space="preserve"> +  PWSP-DIRC-BRCH-C (col 81-83) + PWSP-DIRC-BASE-C (col 84-89) to populate this field with new BETA account number.</t>
    </r>
  </si>
  <si>
    <t xml:space="preserve">1. Refer to FREQ BEGIN Table.
Yes: Warning Report: 8202 REPORTABLE BEGIN DATE (CDC-BEGIN-CYMD) </t>
  </si>
  <si>
    <t>LPL - Commerce Bank (COM)  
VARIABLE  08/19/2023</t>
  </si>
  <si>
    <t>LPL - Commerce Bank (COM)  
FIXED  08/19/2023</t>
  </si>
  <si>
    <t>LPL - Prudential (PRU)  
VARIABLE  11/06/2024</t>
  </si>
  <si>
    <t>LPL - Prudential (PRU)  
FIXED  11/06/2024</t>
  </si>
  <si>
    <t>LPL - WIS (NWI)
DIST Reverse Mapping</t>
  </si>
  <si>
    <t>V3</t>
  </si>
  <si>
    <t>W1</t>
  </si>
  <si>
    <t>Diocelin Nicholson</t>
  </si>
  <si>
    <t>WP</t>
  </si>
  <si>
    <t>Sandy Bennett</t>
  </si>
  <si>
    <t>CS.CVT2025.LPL.NWI.PWSP</t>
  </si>
  <si>
    <t>CS.CVT2025.LPL.NWI.PWFU</t>
  </si>
  <si>
    <t>CS.CVT2025.LPL.NWI.ICP</t>
  </si>
  <si>
    <t>CS.CVT2025.LPL.NWI.PWAA</t>
  </si>
  <si>
    <t>Task#</t>
  </si>
  <si>
    <t xml:space="preserve">  </t>
  </si>
  <si>
    <t>Total 
Analysis</t>
  </si>
  <si>
    <t xml:space="preserve">Closed </t>
  </si>
  <si>
    <t xml:space="preserve"> Journal </t>
  </si>
  <si>
    <t>BLANK</t>
  </si>
  <si>
    <t xml:space="preserve">No distribution from this plan. </t>
  </si>
  <si>
    <t>Check Standing Instructions</t>
  </si>
  <si>
    <t>Intra Bank Payment</t>
  </si>
  <si>
    <r>
      <t xml:space="preserve">Converts to </t>
    </r>
    <r>
      <rPr>
        <b/>
        <sz val="9"/>
        <color indexed="8"/>
        <rFont val="Arial"/>
        <family val="2"/>
      </rPr>
      <t>END</t>
    </r>
    <r>
      <rPr>
        <sz val="9"/>
        <color indexed="8"/>
        <rFont val="Arial"/>
        <family val="2"/>
      </rPr>
      <t xml:space="preserve"> date - method to purge old accts</t>
    </r>
  </si>
  <si>
    <r>
      <t xml:space="preserve">If greater than mm/dd/yy
</t>
    </r>
    <r>
      <rPr>
        <i/>
        <sz val="9"/>
        <color indexed="8"/>
        <rFont val="Arial"/>
        <family val="2"/>
      </rPr>
      <t>(client to add date in COMMENTS field)</t>
    </r>
  </si>
  <si>
    <t xml:space="preserve">Y </t>
  </si>
  <si>
    <r>
      <rPr>
        <sz val="9"/>
        <color rgb="FF0000FF"/>
        <rFont val="Arial"/>
        <family val="2"/>
      </rPr>
      <t xml:space="preserve">If the client would like to add withholding percentages, a DISTRBTN SOURCE Table must be added instead of pulling from LRPT.
</t>
    </r>
    <r>
      <rPr>
        <sz val="9"/>
        <color rgb="FFFF0000"/>
        <rFont val="Arial"/>
        <family val="2"/>
      </rPr>
      <t xml:space="preserve">Fed W/H &amp; State W/H are pulled from the same PWSP file. Discuss with </t>
    </r>
    <r>
      <rPr>
        <b/>
        <sz val="9"/>
        <color rgb="FFFF0000"/>
        <rFont val="Arial"/>
        <family val="2"/>
      </rPr>
      <t>LPL</t>
    </r>
    <r>
      <rPr>
        <sz val="9"/>
        <color rgb="FFFF0000"/>
        <rFont val="Arial"/>
        <family val="2"/>
      </rPr>
      <t xml:space="preserve"> if IRAS will be populated or have DIST override the W/H. If DIST will be the override then add an additioinal mapping line to include only Active and New records. </t>
    </r>
  </si>
  <si>
    <r>
      <t>1. Initialize to low values.  
If PWSP-PMT-TY-***-C = D (col 249-260) and PWSP-DIRC-BRCH-C (col 81-83) + PWSP-DIRC-BASE-C (col 84-89) is populated ,  use the ACCT DB to cross reference ‘</t>
    </r>
    <r>
      <rPr>
        <sz val="9"/>
        <color rgb="FFFF0000"/>
        <rFont val="Arial"/>
        <family val="2"/>
      </rPr>
      <t>WP’</t>
    </r>
    <r>
      <rPr>
        <sz val="9"/>
        <color theme="1"/>
        <rFont val="Arial"/>
        <family val="2"/>
      </rPr>
      <t xml:space="preserve"> +  PWSP-DIRC-BRCH-C (col 81-83) + PWSP-DIRC-BASE-C (col 84-89) to populate this field with new BETA account number.</t>
    </r>
  </si>
  <si>
    <r>
      <t>1. Initialize to low values.  
If PWSP-PMT-TY-***-C = D (col 249-260) and PWSP-DIRC-BRCH-C (col 81-83) + PWSP-DIRC-BASE-C (col 84-89) is populated ,  use the ACCT DB to cross reference ‘</t>
    </r>
    <r>
      <rPr>
        <sz val="9"/>
        <color rgb="FFFF0000"/>
        <rFont val="Arial"/>
        <family val="2"/>
      </rPr>
      <t>WP</t>
    </r>
    <r>
      <rPr>
        <sz val="9"/>
        <color theme="1"/>
        <rFont val="Arial"/>
        <family val="2"/>
      </rPr>
      <t xml:space="preserve">’ +  PWSP-DIRC-BRCH-C (col 81-83) + PWSP-DIRC-BASE-C (col 84-89) to populate this field with new BETA account number.
</t>
    </r>
  </si>
  <si>
    <t xml:space="preserve">1.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Warning Report: YES
PWSP-PMT-TY-***C (col 249-260) = 'S' 
</t>
  </si>
  <si>
    <t xml:space="preserve">1. Move spaces. </t>
  </si>
  <si>
    <t>TASK</t>
  </si>
  <si>
    <t>NFS-PWSP-SCHD-TY (col 235)</t>
  </si>
  <si>
    <t>WARNING REPORT</t>
  </si>
  <si>
    <t>M, A, X or Space</t>
  </si>
  <si>
    <t xml:space="preserve">
</t>
  </si>
  <si>
    <t>Analysis: for PWSP-STAT-C = A or N</t>
  </si>
  <si>
    <t>M – Monthly (last Friday of the month)</t>
  </si>
  <si>
    <t>W – Weekly (every Friday of the month)</t>
  </si>
  <si>
    <t>X – Specific dates (one, two or three days per month)</t>
  </si>
  <si>
    <t>D – Daily</t>
  </si>
  <si>
    <t>M, A, X, F or Space</t>
  </si>
  <si>
    <t xml:space="preserve">2024
</t>
  </si>
  <si>
    <t>M, A, Q, X or Space</t>
  </si>
  <si>
    <t>SPECIFIC DATE
(Weekly)</t>
  </si>
  <si>
    <t xml:space="preserve">W </t>
  </si>
  <si>
    <r>
      <t xml:space="preserve">See Client's previous mapping.
And see notes below table for mapping.
</t>
    </r>
    <r>
      <rPr>
        <sz val="11"/>
        <color rgb="FF800080"/>
        <rFont val="Calibri"/>
        <family val="2"/>
        <scheme val="minor"/>
      </rPr>
      <t xml:space="preserve">Non-Financial =  05/25/25
First Trade Date = 06/06/25
Financial = 06/07/25
</t>
    </r>
    <r>
      <rPr>
        <sz val="11"/>
        <color theme="1"/>
        <rFont val="Calibri"/>
        <family val="2"/>
        <scheme val="minor"/>
      </rPr>
      <t>1st Business day after Finacial = 06/09/25</t>
    </r>
  </si>
  <si>
    <t xml:space="preserve">DAILY
</t>
  </si>
  <si>
    <t xml:space="preserve">B-bi monthly
</t>
  </si>
  <si>
    <t xml:space="preserve">B-bi monthly
</t>
  </si>
  <si>
    <t xml:space="preserve">Semi-Monthly
</t>
  </si>
  <si>
    <t xml:space="preserve">Q – Quarterly (last Friday of March, June, September, December)
</t>
  </si>
  <si>
    <t>Blank</t>
  </si>
  <si>
    <t>A - Annual</t>
  </si>
  <si>
    <t>F - Frequently (weekly and the first business day after each of the following date 1st, 15th, 22nd)</t>
  </si>
  <si>
    <t>S - Semi-Annual (second and last Friday of the month)</t>
  </si>
  <si>
    <r>
      <t>If NFS-PWSP-PRCS-DY-N (col 64-65) &lt;</t>
    </r>
    <r>
      <rPr>
        <b/>
        <sz val="8"/>
        <color rgb="FFFF0000"/>
        <rFont val="Arial"/>
        <family val="2"/>
      </rPr>
      <t>07</t>
    </r>
    <r>
      <rPr>
        <b/>
        <sz val="8"/>
        <rFont val="Arial"/>
        <family val="2"/>
      </rPr>
      <t>, 
Year = 2026</t>
    </r>
  </si>
  <si>
    <r>
      <t>If NFS-PWSP-PRCS-DY-N (col 64-65)  &gt;=</t>
    </r>
    <r>
      <rPr>
        <b/>
        <sz val="8"/>
        <color rgb="FFFF0000"/>
        <rFont val="Arial"/>
        <family val="2"/>
      </rPr>
      <t>07</t>
    </r>
    <r>
      <rPr>
        <b/>
        <sz val="8"/>
        <rFont val="Arial"/>
        <family val="2"/>
      </rPr>
      <t>, 
Year = 2025</t>
    </r>
  </si>
  <si>
    <t xml:space="preserve">2025
</t>
  </si>
  <si>
    <r>
      <t>If NFS-PWSP-PRCS-DY-N (col 64-65)  &gt;=</t>
    </r>
    <r>
      <rPr>
        <b/>
        <sz val="8"/>
        <color rgb="FFFF0000"/>
        <rFont val="Arial"/>
        <family val="2"/>
      </rPr>
      <t>07</t>
    </r>
    <r>
      <rPr>
        <b/>
        <sz val="8"/>
        <rFont val="Arial"/>
        <family val="2"/>
      </rPr>
      <t>,
then MONTH = DEC</t>
    </r>
  </si>
  <si>
    <r>
      <t>If NFS-PWSP-PRCS-DY-N (col 64-65) &lt;</t>
    </r>
    <r>
      <rPr>
        <b/>
        <sz val="8"/>
        <color rgb="FFFF0000"/>
        <rFont val="Arial"/>
        <family val="2"/>
      </rPr>
      <t>07</t>
    </r>
    <r>
      <rPr>
        <b/>
        <sz val="8"/>
        <rFont val="Arial"/>
        <family val="2"/>
      </rPr>
      <t>, 
then MONTH = JUN</t>
    </r>
  </si>
  <si>
    <r>
      <t>If NFS-PWSP-PRCS-DY-N (col 64-65)  &gt;=</t>
    </r>
    <r>
      <rPr>
        <b/>
        <sz val="8"/>
        <color rgb="FFFF0000"/>
        <rFont val="Arial"/>
        <family val="2"/>
      </rPr>
      <t>07</t>
    </r>
    <r>
      <rPr>
        <b/>
        <sz val="8"/>
        <rFont val="Arial"/>
        <family val="2"/>
      </rPr>
      <t>, 
then MONTH = JUN</t>
    </r>
  </si>
  <si>
    <r>
      <t>If NFS-PWSP-PRCS-DY-N (col 64-65) &lt;</t>
    </r>
    <r>
      <rPr>
        <b/>
        <sz val="8"/>
        <color rgb="FFFF0000"/>
        <rFont val="Arial"/>
        <family val="2"/>
      </rPr>
      <t>07</t>
    </r>
    <r>
      <rPr>
        <b/>
        <sz val="8"/>
        <rFont val="Arial"/>
        <family val="2"/>
      </rPr>
      <t>, 
then MONTH = JUL</t>
    </r>
  </si>
  <si>
    <t>FEB/MAY/AUG/NOV</t>
  </si>
  <si>
    <t>MAR/JUN/SEP/DEC</t>
  </si>
  <si>
    <t>JAN/APR/JUL/SEP</t>
  </si>
  <si>
    <r>
      <t>If NFS-PWSP-PRCS-DY-N (col 64-65)
  &gt;=</t>
    </r>
    <r>
      <rPr>
        <b/>
        <sz val="8"/>
        <color rgb="FFFF0000"/>
        <rFont val="Arial"/>
        <family val="2"/>
      </rPr>
      <t>07</t>
    </r>
    <r>
      <rPr>
        <b/>
        <sz val="8"/>
        <rFont val="Arial"/>
        <family val="2"/>
      </rPr>
      <t>, 
then MONTH = JUN</t>
    </r>
  </si>
  <si>
    <r>
      <t>If NFS-PWSP-PRCS-DY-N (col 64-65)  &gt;=</t>
    </r>
    <r>
      <rPr>
        <b/>
        <sz val="8"/>
        <color rgb="FFFF0000"/>
        <rFont val="Arial"/>
        <family val="2"/>
      </rPr>
      <t>07</t>
    </r>
    <r>
      <rPr>
        <b/>
        <sz val="8"/>
        <rFont val="Arial"/>
        <family val="2"/>
      </rPr>
      <t>,
then MONTH = SEP</t>
    </r>
  </si>
  <si>
    <t>purged</t>
  </si>
  <si>
    <t>PURGE REPORT
Y / N</t>
  </si>
  <si>
    <t>SB Note: PRCS-DY-N = 99</t>
  </si>
  <si>
    <t>Liquidation to Core</t>
  </si>
  <si>
    <t xml:space="preserve">2025
</t>
  </si>
  <si>
    <t>New Option 2:
2. Initialize to low values.
If PWSP-PMT-TY-***-C = A (col 249-260), move PWAA-BNK-NM (col 241) if &gt; spaces else move PWAA-ADDR-1 (col 49-80).  
Write account to warning report (MSGT = 5721).</t>
  </si>
  <si>
    <t>2. Initialize to low values.
If PWSP-PMT-TY-***-C = A (col 249-260), move PWAA-BNK-NM (col 241) if &gt; spaces else move PWAA-ADDR-1 (col 49-80).  
Write account to warning report (MSGT = 5721).</t>
  </si>
  <si>
    <t>2. Initialize to low values.
If PWSP-PMT-TY-***-C = A (col 249-260) and PWAA-BNK-NM (col 241) is &gt; spaces move PWAA-ADDR-1 (col 49-80) else move PWAA-ADDR-2 (col 81-112). 
Write account to warning report. (MSGT = 5722).</t>
  </si>
  <si>
    <t>New Option 2:
2. Initialize to low values.
If PWSP-PMT-TY-***-C = A (col 249-260) and PWAA-BNK-NM (col 241) is &gt; spaces move PWAA-ADDR-1 (col 49-80) else move PWAA-ADDR-2 (col 81-112). 
Write account to warning report. (MSGT = 5722).</t>
  </si>
  <si>
    <t>2. Initialize to low values.
If PWSP-PMT-TY-***-C = A (col 249-260) and PWAA-BNK-NM (col 241) is &gt; spaces move PWAA-ADDR-2 (col 81-112) else move PWAA-ADDR-3 (col 113-144). 
Write account to warning report. (MSGT = 5723).</t>
  </si>
  <si>
    <t>New Option 2:
2. Initialize to low values.
If PWSP-PMT-TY-***-C = A (col 249-260) and PWAA-BNK-NM (col 241) is &gt; spaces move PWAA-ADDR-2 (col 81-112) else move PWAA-ADDR-3 (col 113-144). 
Write account to warning report. (MSGT = 5723).</t>
  </si>
  <si>
    <t>New Option 2:
2. Initialize to low values.
If PWSP-PMT-TY-***-C = A (col 249-260) and PWAA-BNK-NM (col 241) is &gt; spaces move PWAA-ADDR-3 (col 113-144) else move PWAA-ADDR-4 (col 145-176). 
Write account to warning report. (MSGT = 5724).</t>
  </si>
  <si>
    <t>2. Initialize to low values.
If PWSP-PMT-TY-***-C = A (col 249-260) and PWAA-BNK-NM (col 241) is &gt; spaces move PWAA-ADDR-3 (col 113-144) else move PWAA-ADDR-4 (col 145-176). 
Write account to warning report. (MSGT = 5724).</t>
  </si>
  <si>
    <t>New Option 2:
2. Initialize to low values.
If PWSP-PMT-TY-***-C = A (col 249-260) and PWAA-BNK-NM (col 241) is &gt; spaces move PWAA-ADDR-4 (col 145-176) else move PWAA-ADDR-5 (col 177-208). 
Write account to warning report.  (MSGT = 5725)</t>
  </si>
  <si>
    <t>2. Initialize to low values.
If PWSP-PMT-TY-***-C = A (col 249-260) and PWAA-BNK-NM (col 241) is &gt; spaces move PWAA-ADDR-4 (col 145-176) else move PWAA-ADDR-5 (col 177-208). 
Write account to warning report.  (MSGT = 5725)</t>
  </si>
  <si>
    <t>New Option 2:
2. Initialize to low values.
If PWSP-PMT-TY-***-C = A (col 249-260) and PWAA-BNK-NM (col 241) is &gt; spaces move PWAA-ADDR-5 (col 177-208) else move PWAA-ADDR-6 (col 209-240). 
Write account to warning report. (MSGT = 5726).</t>
  </si>
  <si>
    <t>2. Initialize to low values.
If PWSP-PMT-TY-***-C = A (col 249-260) and PWAA-BNK-NM (col 241) is &gt; spaces move PWAA-ADDR-5 (col 177-208) else move PWAA-ADDR-6 (col 209-240). 
Write account to warning report. (MSGT = 5726).</t>
  </si>
  <si>
    <t xml:space="preserve">1. Initialize to low values. 
If PWSP-PMT-TY-***-C = E (col 249-260):  join files using PWSP-PLN-ID (col 1-9)and PWSP-PLN-SQ-N (col 11-12),  PWFU-PLN-ID (col 1-9) and PWFU-PLN-SQ-N (col 11-12), retrieve PWFU-EFT-SUFX (col 42-43). 
Using PWFU-PLN-ID (col 1-9) + PWFU-EFT-SUFX (col 42-43), cross-reference those values to ICP-ES-STG-INSN-ID (col 10-29) to find corresponding  record, move ICP-ES-ABA-ID (col 901-909) if &gt; 0.
Yes/No - Warning Report: If PWSP-PMT-TY-***C (col 249-260) = 'S' 
</t>
  </si>
  <si>
    <t xml:space="preserve">2. Initialize to low values. 
If PWSP-PMT-TY-***-C = E (col 249-260):  join files using PWSP-PLN-ID (col 1-9)and PWSP-PLN-SQ-N (col 11-12),  PWFU-PLN-ID (col 1-9) and PWFU-PLN-SQ-N (col 11-12), retrieve PWFU-EFT-SUFX (col 42-43). 
Using PWFU-PLN-ID (col 1-9) + PWFU-EFT-SUFX (col 42-43), cross-reference those values to ICP-ES-STG-INSN-ID (col 10-29) to find corresponding  record, move ICP-ES-ABA-ID (col 901-909) if &gt; 0.
Yes/No - Warning Report: If PWSP-PMT-TY-***C (col 249-260) = 'S' 
</t>
  </si>
  <si>
    <t>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</si>
  <si>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 xml:space="preserve">New Option 2
2.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Warning Report: YES
PWSP-PMT-TY-***C (col 249-260) = 'S' 
</t>
  </si>
  <si>
    <t>New Option 2
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</si>
  <si>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New Option 2
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</si>
  <si>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</si>
  <si>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8202 Warning Message for only 'S' records. Removed 'S' records from logic.</t>
  </si>
  <si>
    <t>Move to June</t>
  </si>
  <si>
    <t>06' (Jun)</t>
  </si>
  <si>
    <t>01' (Jan)</t>
  </si>
  <si>
    <t>02' (Feb)</t>
  </si>
  <si>
    <t>03' (Mar)</t>
  </si>
  <si>
    <t>04' (Apr)</t>
  </si>
  <si>
    <t>05' (May)</t>
  </si>
  <si>
    <t>07' (Jul)</t>
  </si>
  <si>
    <t>08' (Aug)</t>
  </si>
  <si>
    <t>09' (Sep)</t>
  </si>
  <si>
    <t>10' (Oct)</t>
  </si>
  <si>
    <t>11' (Nov)</t>
  </si>
  <si>
    <t>12' (Dec)</t>
  </si>
  <si>
    <r>
      <t xml:space="preserve">INCLUSION CRITERION
</t>
    </r>
    <r>
      <rPr>
        <b/>
        <sz val="12"/>
        <rFont val="Calibri"/>
        <family val="2"/>
      </rPr>
      <t>NFS PWSP file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</si>
</sst>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
  </numFmts>
  <fonts count="71">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sz val="10"/>
      <color indexed="8"/>
      <name val="Arial"/>
      <family val="2"/>
    </font>
    <font>
      <b/>
      <sz val="9"/>
      <color indexed="8"/>
      <name val="Arial"/>
      <family val="2"/>
    </font>
    <font>
      <b/>
      <sz val="11"/>
      <color indexed="8"/>
      <name val="Calibri"/>
      <family val="2"/>
    </font>
    <font>
      <sz val="8"/>
      <name val="Arial"/>
      <family val="2"/>
    </font>
    <font>
      <sz val="9"/>
      <color indexed="10"/>
      <name val="Arial"/>
      <family val="2"/>
    </font>
    <font>
      <sz val="9"/>
      <color indexed="36"/>
      <name val="Arial"/>
      <family val="2"/>
    </font>
    <font>
      <sz val="11"/>
      <color theme="0"/>
      <name val="Calibri"/>
      <family val="2"/>
      <scheme val="minor"/>
    </font>
    <font>
      <u/>
      <sz val="8.8000000000000007"/>
      <color theme="10"/>
      <name val="Calibri"/>
      <family val="2"/>
    </font>
    <font>
      <sz val="10"/>
      <color theme="1"/>
      <name val="Calibri"/>
      <family val="2"/>
      <scheme val="minor"/>
    </font>
    <font>
      <b/>
      <sz val="11"/>
      <color theme="1"/>
      <name val="Calibri"/>
      <family val="2"/>
      <scheme val="minor"/>
    </font>
    <font>
      <sz val="11"/>
      <color rgb="FFFF0000"/>
      <name val="Calibri"/>
      <family val="2"/>
      <scheme val="minor"/>
    </font>
    <font>
      <b/>
      <sz val="9"/>
      <color theme="1"/>
      <name val="Arial (W1)"/>
      <family val="2"/>
    </font>
    <font>
      <sz val="9"/>
      <color theme="1"/>
      <name val="Arial (W1)"/>
      <family val="2"/>
    </font>
    <font>
      <sz val="9"/>
      <color theme="1"/>
      <name val="Arial"/>
      <family val="2"/>
    </font>
    <font>
      <b/>
      <sz val="9"/>
      <color theme="1"/>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rgb="FF000000"/>
      <name val="Arial"/>
      <family val="2"/>
    </font>
    <font>
      <b/>
      <sz val="9"/>
      <color theme="0"/>
      <name val="Arial"/>
      <family val="2"/>
    </font>
    <font>
      <sz val="9"/>
      <color theme="1"/>
      <name val="Wingdings"/>
      <charset val="2"/>
    </font>
    <font>
      <u/>
      <sz val="9"/>
      <color theme="10"/>
      <name val="Arial"/>
      <family val="2"/>
    </font>
    <font>
      <sz val="9"/>
      <color theme="1"/>
      <name val="Calibri"/>
      <family val="2"/>
      <scheme val="minor"/>
    </font>
    <font>
      <i/>
      <sz val="9"/>
      <color theme="1"/>
      <name val="Arial"/>
      <family val="2"/>
    </font>
    <font>
      <sz val="9"/>
      <color rgb="FFFF0000"/>
      <name val="Arial"/>
      <family val="2"/>
    </font>
    <font>
      <sz val="9"/>
      <color theme="0"/>
      <name val="Arial"/>
      <family val="2"/>
    </font>
    <font>
      <sz val="10"/>
      <color theme="1"/>
      <name val="Arial"/>
      <family val="2"/>
    </font>
    <font>
      <sz val="8"/>
      <color theme="1"/>
      <name val="Arial"/>
      <family val="2"/>
    </font>
    <font>
      <sz val="8"/>
      <color rgb="FFFF0000"/>
      <name val="Arial"/>
      <family val="2"/>
    </font>
    <font>
      <sz val="11"/>
      <color rgb="FF000000"/>
      <name val="Calibri"/>
      <family val="2"/>
    </font>
    <font>
      <b/>
      <u/>
      <sz val="11"/>
      <color rgb="FF000000"/>
      <name val="Calibri"/>
      <family val="2"/>
    </font>
    <font>
      <sz val="11"/>
      <color rgb="FF00B050"/>
      <name val="Calibri"/>
      <family val="2"/>
    </font>
    <font>
      <sz val="11"/>
      <color rgb="FFFF0000"/>
      <name val="Calibri"/>
      <family val="2"/>
    </font>
    <font>
      <sz val="11"/>
      <name val="Calibri"/>
      <family val="2"/>
    </font>
    <font>
      <sz val="9"/>
      <color rgb="FF0000FF"/>
      <name val="Arial"/>
      <family val="2"/>
    </font>
    <font>
      <u/>
      <sz val="9"/>
      <color rgb="FFFF0000"/>
      <name val="Arial"/>
      <family val="2"/>
    </font>
    <font>
      <strike/>
      <sz val="9"/>
      <color rgb="FF000000"/>
      <name val="Arial"/>
      <family val="2"/>
    </font>
    <font>
      <b/>
      <u/>
      <sz val="9"/>
      <color rgb="FFFF0000"/>
      <name val="Arial"/>
      <family val="2"/>
    </font>
    <font>
      <b/>
      <sz val="9"/>
      <color rgb="FF000000"/>
      <name val="Arial"/>
      <family val="2"/>
    </font>
    <font>
      <strike/>
      <sz val="9"/>
      <name val="Arial"/>
      <family val="2"/>
    </font>
    <font>
      <sz val="9"/>
      <name val="Arial"/>
      <family val="2"/>
    </font>
    <font>
      <b/>
      <u/>
      <sz val="9"/>
      <name val="Arial"/>
      <family val="2"/>
    </font>
    <font>
      <sz val="12"/>
      <color rgb="FF000099"/>
      <name val="Calibri"/>
      <family val="2"/>
      <scheme val="minor"/>
    </font>
    <font>
      <sz val="11"/>
      <color rgb="FF000099"/>
      <name val="Calibri"/>
      <family val="2"/>
      <scheme val="minor"/>
    </font>
    <font>
      <b/>
      <sz val="9"/>
      <color rgb="FF000099"/>
      <name val="Arial"/>
      <family val="2"/>
    </font>
    <font>
      <sz val="9"/>
      <color rgb="FF000099"/>
      <name val="Arial"/>
      <family val="2"/>
    </font>
    <font>
      <sz val="11"/>
      <name val="Calibri"/>
      <family val="2"/>
      <scheme val="minor"/>
    </font>
    <font>
      <u/>
      <sz val="11"/>
      <color theme="10"/>
      <name val="Calibri"/>
      <family val="2"/>
      <scheme val="minor"/>
    </font>
    <font>
      <strike/>
      <sz val="11"/>
      <color rgb="FFFF0000"/>
      <name val="Calibri"/>
      <family val="2"/>
      <scheme val="minor"/>
    </font>
    <font>
      <strike/>
      <sz val="8"/>
      <color theme="1"/>
      <name val="Arial"/>
      <family val="2"/>
    </font>
    <font>
      <sz val="11"/>
      <color rgb="FF800080"/>
      <name val="Calibri"/>
      <family val="2"/>
      <scheme val="minor"/>
    </font>
    <font>
      <sz val="11"/>
      <color rgb="FF0000FF"/>
      <name val="Calibri"/>
      <family val="2"/>
      <scheme val="minor"/>
    </font>
    <font>
      <sz val="11"/>
      <color rgb="FFC00000"/>
      <name val="Calibri"/>
      <family val="2"/>
      <scheme val="minor"/>
    </font>
    <font>
      <b/>
      <sz val="8"/>
      <name val="Arial"/>
      <family val="2"/>
    </font>
    <font>
      <b/>
      <sz val="8"/>
      <color rgb="FFFF0000"/>
      <name val="Arial"/>
      <family val="2"/>
    </font>
    <font>
      <b/>
      <sz val="11"/>
      <name val="Calibri"/>
      <family val="2"/>
      <scheme val="minor"/>
    </font>
    <font>
      <sz val="8"/>
      <color rgb="FF0000FF"/>
      <name val="Arial"/>
      <family val="2"/>
    </font>
    <font>
      <sz val="9"/>
      <color rgb="FF0000FF"/>
      <name val="Calibri"/>
      <family val="2"/>
      <scheme val="minor"/>
    </font>
    <font>
      <b/>
      <sz val="12"/>
      <color theme="1"/>
      <name val="Calibri"/>
      <family val="2"/>
      <scheme val="minor"/>
    </font>
    <font>
      <b/>
      <sz val="12"/>
      <name val="Calibri"/>
      <family val="2"/>
    </font>
  </fonts>
  <fills count="21">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rgb="FFE0E0E0"/>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BFBFBF"/>
        <bgColor rgb="FF000000"/>
      </patternFill>
    </fill>
    <fill>
      <patternFill patternType="solid">
        <fgColor rgb="FFFFFF00"/>
        <bgColor rgb="FF000000"/>
      </patternFill>
    </fill>
    <fill>
      <patternFill patternType="solid">
        <fgColor rgb="FFD9D9D9"/>
        <bgColor rgb="FF000000"/>
      </patternFill>
    </fill>
    <fill>
      <patternFill patternType="solid">
        <fgColor rgb="FFD8E4BC"/>
        <bgColor rgb="FF000000"/>
      </patternFill>
    </fill>
    <fill>
      <patternFill patternType="solid">
        <fgColor theme="0"/>
        <bgColor rgb="FF000000"/>
      </patternFill>
    </fill>
    <fill>
      <patternFill patternType="solid">
        <fgColor rgb="FFFFFFFF"/>
        <bgColor rgb="FF000000"/>
      </patternFill>
    </fill>
    <fill>
      <patternFill patternType="solid">
        <fgColor rgb="FFA6A6A6"/>
        <bgColor rgb="FF000000"/>
      </patternFill>
    </fill>
    <fill>
      <patternFill patternType="solid">
        <fgColor theme="5" tint="0.7999816888943144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style="thin">
        <color theme="0" tint="-0.14999847407452621"/>
      </right>
      <top/>
      <bottom/>
      <diagonal/>
    </border>
    <border>
      <left style="thin">
        <color rgb="FF000000"/>
      </left>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style="thin">
        <color rgb="FF000000"/>
      </left>
      <right style="thin">
        <color indexed="64"/>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medium">
        <color rgb="FFFF0000"/>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rgb="FFFF0000"/>
      </left>
      <right style="thin">
        <color indexed="64"/>
      </right>
      <top style="thin">
        <color indexed="64"/>
      </top>
      <bottom style="thin">
        <color indexed="64"/>
      </bottom>
      <diagonal/>
    </border>
    <border>
      <left style="thin">
        <color indexed="64"/>
      </left>
      <right/>
      <top/>
      <bottom style="thin">
        <color indexed="64"/>
      </bottom>
      <diagonal/>
    </border>
    <border>
      <left style="medium">
        <color rgb="FFFF0000"/>
      </left>
      <right style="thin">
        <color indexed="64"/>
      </right>
      <top/>
      <bottom style="thin">
        <color indexed="64"/>
      </bottom>
      <diagonal/>
    </border>
    <border>
      <left style="thin">
        <color indexed="64"/>
      </left>
      <right/>
      <top style="thin">
        <color indexed="64"/>
      </top>
      <bottom style="medium">
        <color indexed="64"/>
      </bottom>
      <diagonal/>
    </border>
    <border>
      <left style="medium">
        <color rgb="FFFF0000"/>
      </left>
      <right style="thin">
        <color indexed="64"/>
      </right>
      <top style="thin">
        <color indexed="64"/>
      </top>
      <bottom style="medium">
        <color indexed="64"/>
      </bottom>
      <diagonal/>
    </border>
    <border>
      <left style="thin">
        <color indexed="64"/>
      </left>
      <right/>
      <top/>
      <bottom style="medium">
        <color indexed="64"/>
      </bottom>
      <diagonal/>
    </border>
    <border>
      <left style="medium">
        <color rgb="FFFF0000"/>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rgb="FFFF0000"/>
      </left>
      <right style="thin">
        <color indexed="64"/>
      </right>
      <top style="medium">
        <color indexed="64"/>
      </top>
      <bottom style="thin">
        <color indexed="64"/>
      </bottom>
      <diagonal/>
    </border>
    <border>
      <left style="thin">
        <color indexed="64"/>
      </left>
      <right style="medium">
        <color rgb="FFFF0000"/>
      </right>
      <top style="thin">
        <color indexed="64"/>
      </top>
      <bottom style="medium">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bottom style="medium">
        <color indexed="64"/>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rgb="FFFF0000"/>
      </left>
      <right style="thin">
        <color indexed="64"/>
      </right>
      <top style="medium">
        <color indexed="64"/>
      </top>
      <bottom style="medium">
        <color indexed="64"/>
      </bottom>
      <diagonal/>
    </border>
  </borders>
  <cellStyleXfs count="7">
    <xf numFmtId="0" fontId="0" fillId="0" borderId="0"/>
    <xf numFmtId="0" fontId="14" fillId="0" borderId="0" applyNumberFormat="0" applyFill="0" applyBorder="0" applyAlignment="0" applyProtection="0">
      <alignment vertical="top"/>
      <protection locked="0"/>
    </xf>
    <xf numFmtId="0" fontId="15" fillId="0" borderId="0"/>
    <xf numFmtId="0" fontId="15" fillId="0" borderId="0"/>
    <xf numFmtId="0" fontId="15" fillId="0" borderId="0"/>
    <xf numFmtId="0" fontId="15" fillId="0" borderId="0"/>
    <xf numFmtId="0" fontId="58" fillId="0" borderId="0" applyNumberFormat="0" applyFill="0" applyBorder="0" applyAlignment="0" applyProtection="0"/>
  </cellStyleXfs>
  <cellXfs count="542">
    <xf numFmtId="0" fontId="0" fillId="0" borderId="0" xfId="0"/>
    <xf numFmtId="0" fontId="18" fillId="0" borderId="0" xfId="0" applyFont="1"/>
    <xf numFmtId="0" fontId="19" fillId="0" borderId="0" xfId="0" applyFont="1"/>
    <xf numFmtId="0" fontId="20" fillId="0" borderId="0" xfId="0" applyFont="1"/>
    <xf numFmtId="49" fontId="20"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0" fontId="20" fillId="0" borderId="0" xfId="0" applyFont="1" applyAlignment="1">
      <alignment vertical="top" wrapText="1"/>
    </xf>
    <xf numFmtId="0" fontId="20" fillId="0" borderId="0" xfId="0" applyFont="1" applyAlignment="1">
      <alignment vertical="top"/>
    </xf>
    <xf numFmtId="0" fontId="20" fillId="0" borderId="0" xfId="0" applyFont="1" applyAlignment="1" applyProtection="1">
      <alignment vertical="top"/>
      <protection locked="0"/>
    </xf>
    <xf numFmtId="0" fontId="20" fillId="0" borderId="0" xfId="0" applyFont="1" applyAlignment="1" applyProtection="1">
      <alignment vertical="top" wrapText="1"/>
      <protection locked="0"/>
    </xf>
    <xf numFmtId="49" fontId="20" fillId="0" borderId="0" xfId="0" applyNumberFormat="1" applyFont="1" applyAlignment="1" applyProtection="1">
      <alignment vertical="top" wrapText="1"/>
      <protection locked="0"/>
    </xf>
    <xf numFmtId="49" fontId="21" fillId="0" borderId="1" xfId="0" applyNumberFormat="1" applyFont="1" applyBorder="1" applyAlignment="1" applyProtection="1">
      <alignment horizontal="left" vertical="top" wrapText="1"/>
      <protection locked="0"/>
    </xf>
    <xf numFmtId="0" fontId="20" fillId="0" borderId="1" xfId="0" applyFont="1" applyBorder="1" applyAlignment="1">
      <alignment vertical="top"/>
    </xf>
    <xf numFmtId="0" fontId="21" fillId="0" borderId="1" xfId="0" applyFont="1" applyBorder="1" applyAlignment="1" applyProtection="1">
      <alignment horizontal="left" vertical="top" wrapText="1"/>
      <protection locked="0"/>
    </xf>
    <xf numFmtId="0" fontId="20" fillId="0" borderId="1" xfId="0" applyFont="1" applyBorder="1" applyAlignment="1" applyProtection="1">
      <alignment horizontal="left" vertical="top" wrapText="1"/>
      <protection locked="0"/>
    </xf>
    <xf numFmtId="49" fontId="20" fillId="0" borderId="0" xfId="0" applyNumberFormat="1" applyFont="1" applyAlignment="1" applyProtection="1">
      <alignment vertical="top"/>
      <protection locked="0"/>
    </xf>
    <xf numFmtId="0" fontId="20" fillId="0" borderId="0" xfId="0" applyFont="1" applyAlignment="1">
      <alignment horizontal="center"/>
    </xf>
    <xf numFmtId="0" fontId="20" fillId="0" borderId="0" xfId="0" applyFont="1" applyProtection="1">
      <protection locked="0"/>
    </xf>
    <xf numFmtId="0" fontId="21" fillId="0" borderId="0" xfId="0" applyFont="1" applyAlignment="1" applyProtection="1">
      <alignment horizontal="left" wrapText="1"/>
      <protection locked="0"/>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21" fillId="0" borderId="0" xfId="0" applyFont="1" applyAlignment="1" applyProtection="1">
      <alignment horizontal="center" vertical="top" wrapText="1"/>
      <protection locked="0"/>
    </xf>
    <xf numFmtId="0" fontId="20" fillId="0" borderId="0" xfId="0" applyFont="1" applyAlignment="1" applyProtection="1">
      <alignment horizontal="left" vertical="top" wrapText="1"/>
      <protection locked="0"/>
    </xf>
    <xf numFmtId="0" fontId="22" fillId="0" borderId="0" xfId="0" applyFont="1" applyAlignment="1" applyProtection="1">
      <alignment vertical="top" wrapText="1"/>
      <protection locked="0"/>
    </xf>
    <xf numFmtId="49" fontId="23" fillId="0" borderId="0" xfId="1" applyNumberFormat="1" applyFont="1" applyFill="1" applyBorder="1" applyAlignment="1" applyProtection="1">
      <alignment vertical="top" wrapText="1"/>
      <protection locked="0"/>
    </xf>
    <xf numFmtId="0" fontId="20" fillId="0" borderId="0" xfId="0" applyFont="1" applyAlignment="1" applyProtection="1">
      <alignment horizontal="center"/>
      <protection locked="0"/>
    </xf>
    <xf numFmtId="0" fontId="21" fillId="0" borderId="0" xfId="0" applyFont="1" applyAlignment="1" applyProtection="1">
      <alignment horizontal="left" vertical="top" wrapText="1"/>
      <protection locked="0"/>
    </xf>
    <xf numFmtId="49" fontId="2" fillId="0" borderId="0" xfId="0" applyNumberFormat="1" applyFont="1" applyAlignment="1" applyProtection="1">
      <alignment vertical="top" wrapText="1"/>
      <protection locked="0"/>
    </xf>
    <xf numFmtId="0" fontId="23" fillId="0" borderId="0" xfId="1" applyFont="1" applyFill="1" applyBorder="1" applyAlignment="1" applyProtection="1">
      <alignment vertical="top" wrapText="1"/>
      <protection locked="0"/>
    </xf>
    <xf numFmtId="49" fontId="21" fillId="0" borderId="0" xfId="0" applyNumberFormat="1" applyFont="1" applyAlignment="1" applyProtection="1">
      <alignment vertical="top" wrapText="1"/>
      <protection locked="0"/>
    </xf>
    <xf numFmtId="49" fontId="22" fillId="0" borderId="0" xfId="1" applyNumberFormat="1" applyFont="1" applyFill="1" applyBorder="1" applyAlignment="1" applyProtection="1">
      <alignment vertical="top" wrapText="1"/>
      <protection locked="0"/>
    </xf>
    <xf numFmtId="0" fontId="24" fillId="0" borderId="0" xfId="0" applyFont="1" applyAlignment="1" applyProtection="1">
      <alignment horizontal="left" vertical="top" wrapText="1"/>
      <protection locked="0"/>
    </xf>
    <xf numFmtId="0" fontId="20" fillId="0" borderId="1" xfId="0" applyFont="1" applyBorder="1" applyAlignment="1">
      <alignment horizontal="center" vertical="top" wrapText="1"/>
    </xf>
    <xf numFmtId="0" fontId="16" fillId="2" borderId="1" xfId="0" applyFont="1" applyFill="1" applyBorder="1" applyAlignment="1">
      <alignment horizontal="center"/>
    </xf>
    <xf numFmtId="0" fontId="16" fillId="2" borderId="1" xfId="0" applyFont="1" applyFill="1" applyBorder="1" applyAlignment="1">
      <alignment horizontal="center" wrapText="1"/>
    </xf>
    <xf numFmtId="164" fontId="20" fillId="0" borderId="0" xfId="0" applyNumberFormat="1" applyFont="1" applyAlignment="1">
      <alignment horizontal="left"/>
    </xf>
    <xf numFmtId="0" fontId="20" fillId="0" borderId="0" xfId="0" applyFont="1" applyAlignment="1">
      <alignment wrapText="1"/>
    </xf>
    <xf numFmtId="164" fontId="0" fillId="0" borderId="0" xfId="0" applyNumberFormat="1" applyAlignment="1">
      <alignment horizontal="left"/>
    </xf>
    <xf numFmtId="14" fontId="0" fillId="0" borderId="0" xfId="0" applyNumberFormat="1"/>
    <xf numFmtId="0" fontId="20" fillId="0" borderId="1" xfId="0" applyFont="1" applyBorder="1" applyAlignment="1">
      <alignment horizontal="center"/>
    </xf>
    <xf numFmtId="0" fontId="20" fillId="0" borderId="0" xfId="0" applyFont="1" applyAlignment="1">
      <alignment horizontal="left" vertical="top"/>
    </xf>
    <xf numFmtId="0" fontId="20" fillId="0" borderId="0" xfId="0" applyFont="1" applyAlignment="1">
      <alignment horizontal="center" vertical="top"/>
    </xf>
    <xf numFmtId="0" fontId="21" fillId="0" borderId="0" xfId="0" applyFont="1" applyAlignment="1">
      <alignment horizontal="center" vertical="top" wrapText="1"/>
    </xf>
    <xf numFmtId="0" fontId="20" fillId="0" borderId="0" xfId="0" applyFont="1" applyAlignment="1">
      <alignment horizontal="left" vertical="top" wrapText="1"/>
    </xf>
    <xf numFmtId="0" fontId="25" fillId="3" borderId="0" xfId="0" applyFont="1" applyFill="1" applyAlignment="1">
      <alignment horizontal="left" wrapText="1"/>
    </xf>
    <xf numFmtId="0" fontId="0" fillId="3" borderId="0" xfId="0" applyFill="1" applyAlignment="1">
      <alignment horizontal="left"/>
    </xf>
    <xf numFmtId="0" fontId="0" fillId="0" borderId="0" xfId="0" applyAlignment="1">
      <alignment horizontal="left"/>
    </xf>
    <xf numFmtId="0" fontId="25" fillId="0" borderId="0" xfId="0" applyFont="1" applyAlignment="1">
      <alignment horizontal="left"/>
    </xf>
    <xf numFmtId="0" fontId="26" fillId="0" borderId="0" xfId="0" applyFont="1"/>
    <xf numFmtId="14" fontId="26" fillId="0" borderId="0" xfId="0" applyNumberFormat="1" applyFont="1" applyAlignment="1">
      <alignment horizontal="left"/>
    </xf>
    <xf numFmtId="0" fontId="27" fillId="0" borderId="0" xfId="0" applyFont="1"/>
    <xf numFmtId="0" fontId="20" fillId="0" borderId="1" xfId="0" applyFont="1" applyBorder="1" applyAlignment="1">
      <alignment vertical="top" wrapText="1"/>
    </xf>
    <xf numFmtId="0" fontId="0" fillId="0" borderId="13" xfId="0" applyBorder="1" applyAlignment="1">
      <alignment horizontal="left"/>
    </xf>
    <xf numFmtId="0" fontId="1" fillId="4" borderId="2" xfId="0" applyFont="1" applyFill="1" applyBorder="1" applyAlignment="1">
      <alignment horizontal="center" vertical="center" wrapText="1"/>
    </xf>
    <xf numFmtId="0" fontId="28" fillId="0" borderId="0" xfId="0" applyFont="1"/>
    <xf numFmtId="49" fontId="19" fillId="0" borderId="0" xfId="0" applyNumberFormat="1" applyFont="1" applyAlignment="1">
      <alignment horizontal="left"/>
    </xf>
    <xf numFmtId="0" fontId="20" fillId="0" borderId="1" xfId="0" applyFont="1" applyBorder="1" applyAlignment="1">
      <alignment horizontal="left"/>
    </xf>
    <xf numFmtId="0" fontId="20" fillId="0" borderId="0" xfId="0" applyFont="1" applyAlignment="1">
      <alignment horizontal="left"/>
    </xf>
    <xf numFmtId="0" fontId="27" fillId="0" borderId="1" xfId="0" applyFont="1" applyBorder="1"/>
    <xf numFmtId="0" fontId="18" fillId="0" borderId="1" xfId="0" applyFont="1" applyBorder="1"/>
    <xf numFmtId="0" fontId="21"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30" fillId="4" borderId="2" xfId="0" applyFont="1" applyFill="1" applyBorder="1" applyAlignment="1">
      <alignment horizontal="center" vertical="center" wrapText="1"/>
    </xf>
    <xf numFmtId="0" fontId="20" fillId="0" borderId="0" xfId="0" applyFont="1" applyAlignment="1" applyProtection="1">
      <alignment horizontal="center" vertical="center"/>
      <protection locked="0"/>
    </xf>
    <xf numFmtId="0" fontId="31" fillId="0" borderId="0" xfId="0" applyFont="1" applyAlignment="1">
      <alignment horizontal="left" wrapText="1"/>
    </xf>
    <xf numFmtId="0" fontId="0" fillId="0" borderId="0" xfId="0" applyAlignment="1">
      <alignment wrapText="1"/>
    </xf>
    <xf numFmtId="0" fontId="20" fillId="0" borderId="0" xfId="0" applyFont="1" applyAlignment="1">
      <alignment horizontal="left" wrapText="1"/>
    </xf>
    <xf numFmtId="0" fontId="20" fillId="0" borderId="1" xfId="0" applyFont="1" applyBorder="1" applyAlignment="1" applyProtection="1">
      <alignment horizontal="center"/>
      <protection locked="0"/>
    </xf>
    <xf numFmtId="0" fontId="21" fillId="0" borderId="1" xfId="0" applyFont="1" applyBorder="1" applyAlignment="1" applyProtection="1">
      <alignment horizontal="center" vertical="top" wrapText="1"/>
      <protection locked="0"/>
    </xf>
    <xf numFmtId="0" fontId="22" fillId="0" borderId="1" xfId="0" applyFont="1" applyBorder="1" applyAlignment="1" applyProtection="1">
      <alignment vertical="top" wrapText="1"/>
      <protection locked="0"/>
    </xf>
    <xf numFmtId="49" fontId="2" fillId="0" borderId="1" xfId="0" applyNumberFormat="1" applyFont="1" applyBorder="1" applyAlignment="1" applyProtection="1">
      <alignment vertical="top" wrapText="1"/>
      <protection locked="0"/>
    </xf>
    <xf numFmtId="0" fontId="20" fillId="0" borderId="1" xfId="0" applyFont="1" applyBorder="1" applyAlignment="1" applyProtection="1">
      <alignment vertical="top" wrapText="1"/>
      <protection locked="0"/>
    </xf>
    <xf numFmtId="0" fontId="20" fillId="0" borderId="1" xfId="0" applyFont="1" applyBorder="1" applyAlignment="1" applyProtection="1">
      <alignment vertical="top"/>
      <protection locked="0"/>
    </xf>
    <xf numFmtId="49" fontId="20" fillId="0" borderId="1" xfId="0" applyNumberFormat="1" applyFont="1" applyBorder="1" applyAlignment="1" applyProtection="1">
      <alignment vertical="top" wrapText="1"/>
      <protection locked="0"/>
    </xf>
    <xf numFmtId="49" fontId="23" fillId="0" borderId="1" xfId="1" applyNumberFormat="1" applyFont="1" applyFill="1" applyBorder="1" applyAlignment="1" applyProtection="1">
      <alignment vertical="top" wrapText="1"/>
      <protection locked="0"/>
    </xf>
    <xf numFmtId="49" fontId="20" fillId="0" borderId="1" xfId="0" applyNumberFormat="1" applyFont="1" applyBorder="1" applyAlignment="1" applyProtection="1">
      <alignment horizontal="left" vertical="top" wrapText="1"/>
      <protection locked="0"/>
    </xf>
    <xf numFmtId="49" fontId="21" fillId="0" borderId="1" xfId="0" applyNumberFormat="1" applyFont="1" applyBorder="1" applyAlignment="1" applyProtection="1">
      <alignment vertical="top" wrapText="1"/>
      <protection locked="0"/>
    </xf>
    <xf numFmtId="49" fontId="22" fillId="0" borderId="1" xfId="1" applyNumberFormat="1" applyFont="1" applyFill="1" applyBorder="1" applyAlignment="1" applyProtection="1">
      <alignment vertical="top" wrapText="1"/>
      <protection locked="0"/>
    </xf>
    <xf numFmtId="0" fontId="32" fillId="0" borderId="1" xfId="1" applyFont="1" applyFill="1" applyBorder="1" applyAlignment="1" applyProtection="1">
      <alignment vertical="top" wrapText="1"/>
      <protection locked="0"/>
    </xf>
    <xf numFmtId="0" fontId="20" fillId="0" borderId="1" xfId="0" applyFont="1" applyBorder="1" applyAlignment="1" applyProtection="1">
      <alignment horizontal="center" vertical="top"/>
      <protection locked="0"/>
    </xf>
    <xf numFmtId="0" fontId="33" fillId="0" borderId="0" xfId="0" applyFont="1"/>
    <xf numFmtId="0" fontId="34" fillId="0" borderId="1" xfId="0" applyFont="1" applyBorder="1" applyAlignment="1">
      <alignment horizontal="center" vertical="top" wrapText="1"/>
    </xf>
    <xf numFmtId="0" fontId="21" fillId="0" borderId="1" xfId="0" applyFont="1" applyBorder="1" applyAlignment="1">
      <alignment horizontal="center" vertical="top" wrapText="1"/>
    </xf>
    <xf numFmtId="0" fontId="21" fillId="0" borderId="1" xfId="0" applyFont="1" applyBorder="1" applyAlignment="1">
      <alignment horizontal="center" vertical="top"/>
    </xf>
    <xf numFmtId="0" fontId="29" fillId="0" borderId="1" xfId="0" applyFont="1" applyBorder="1" applyAlignment="1">
      <alignment vertical="top" wrapText="1"/>
    </xf>
    <xf numFmtId="0" fontId="21" fillId="0" borderId="0" xfId="0" applyFont="1"/>
    <xf numFmtId="49" fontId="20" fillId="5" borderId="1" xfId="0" applyNumberFormat="1" applyFont="1" applyFill="1" applyBorder="1" applyAlignment="1">
      <alignment horizontal="left" vertical="top" wrapText="1"/>
    </xf>
    <xf numFmtId="0" fontId="20" fillId="0" borderId="1" xfId="0" applyFont="1" applyBorder="1" applyAlignment="1">
      <alignment horizontal="center" vertical="center"/>
    </xf>
    <xf numFmtId="0" fontId="20"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protection locked="0"/>
    </xf>
    <xf numFmtId="0" fontId="20" fillId="0" borderId="0" xfId="0" applyFont="1" applyAlignment="1">
      <alignment horizontal="center" vertical="center"/>
    </xf>
    <xf numFmtId="0" fontId="22" fillId="0" borderId="1" xfId="0" applyFont="1" applyBorder="1" applyAlignment="1">
      <alignment vertical="top" wrapText="1"/>
    </xf>
    <xf numFmtId="0" fontId="2" fillId="0" borderId="1" xfId="0" applyFont="1" applyBorder="1" applyAlignment="1">
      <alignment vertical="top" wrapText="1"/>
    </xf>
    <xf numFmtId="0" fontId="34" fillId="5" borderId="1" xfId="0" applyFont="1" applyFill="1" applyBorder="1" applyAlignment="1">
      <alignment horizontal="center" vertical="top" wrapText="1"/>
    </xf>
    <xf numFmtId="0" fontId="21" fillId="5" borderId="1" xfId="0" applyFont="1" applyFill="1" applyBorder="1" applyAlignment="1" applyProtection="1">
      <alignment horizontal="center" vertical="top" wrapText="1"/>
      <protection locked="0"/>
    </xf>
    <xf numFmtId="0" fontId="22" fillId="5" borderId="1" xfId="0" applyFont="1" applyFill="1" applyBorder="1" applyAlignment="1" applyProtection="1">
      <alignment vertical="top" wrapText="1"/>
      <protection locked="0"/>
    </xf>
    <xf numFmtId="49" fontId="2" fillId="5" borderId="1" xfId="0" applyNumberFormat="1" applyFont="1" applyFill="1" applyBorder="1" applyAlignment="1" applyProtection="1">
      <alignment vertical="top" wrapText="1"/>
      <protection locked="0"/>
    </xf>
    <xf numFmtId="0" fontId="21" fillId="5" borderId="1" xfId="0" applyFont="1" applyFill="1" applyBorder="1" applyAlignment="1" applyProtection="1">
      <alignment horizontal="left" vertical="top" wrapText="1"/>
      <protection locked="0"/>
    </xf>
    <xf numFmtId="0" fontId="20" fillId="5" borderId="1" xfId="0" applyFont="1" applyFill="1" applyBorder="1" applyProtection="1">
      <protection locked="0"/>
    </xf>
    <xf numFmtId="0" fontId="20" fillId="5" borderId="1" xfId="0" applyFont="1" applyFill="1" applyBorder="1" applyAlignment="1" applyProtection="1">
      <alignment horizontal="center" vertical="center"/>
      <protection locked="0"/>
    </xf>
    <xf numFmtId="0" fontId="20" fillId="5" borderId="1" xfId="0" applyFont="1" applyFill="1" applyBorder="1" applyAlignment="1" applyProtection="1">
      <alignment vertical="top" wrapText="1"/>
      <protection locked="0"/>
    </xf>
    <xf numFmtId="0" fontId="20" fillId="5" borderId="1" xfId="0" applyFont="1" applyFill="1" applyBorder="1" applyAlignment="1" applyProtection="1">
      <alignment vertical="top"/>
      <protection locked="0"/>
    </xf>
    <xf numFmtId="0" fontId="20" fillId="5" borderId="1" xfId="0" applyFont="1" applyFill="1" applyBorder="1" applyAlignment="1" applyProtection="1">
      <alignment horizontal="center"/>
      <protection locked="0"/>
    </xf>
    <xf numFmtId="0" fontId="20" fillId="5" borderId="1" xfId="0" applyFont="1" applyFill="1" applyBorder="1" applyAlignment="1">
      <alignment vertical="top"/>
    </xf>
    <xf numFmtId="0" fontId="20" fillId="5" borderId="1" xfId="0" applyFont="1" applyFill="1" applyBorder="1" applyAlignment="1">
      <alignment horizontal="center" vertical="top" wrapText="1"/>
    </xf>
    <xf numFmtId="0" fontId="21" fillId="5" borderId="1" xfId="0" applyFont="1" applyFill="1" applyBorder="1" applyAlignment="1">
      <alignment horizontal="center" vertical="top" wrapText="1"/>
    </xf>
    <xf numFmtId="0" fontId="20" fillId="5" borderId="1" xfId="0" applyFont="1" applyFill="1" applyBorder="1" applyAlignment="1">
      <alignment vertical="top" wrapText="1"/>
    </xf>
    <xf numFmtId="0" fontId="2" fillId="5" borderId="1" xfId="0" applyFont="1" applyFill="1" applyBorder="1" applyAlignment="1">
      <alignment vertical="top" wrapText="1"/>
    </xf>
    <xf numFmtId="0" fontId="20" fillId="5" borderId="1" xfId="0" applyFont="1" applyFill="1" applyBorder="1" applyAlignment="1" applyProtection="1">
      <alignment horizontal="left" vertical="top" wrapText="1"/>
      <protection locked="0"/>
    </xf>
    <xf numFmtId="0" fontId="20" fillId="5" borderId="1" xfId="0" applyFont="1" applyFill="1" applyBorder="1" applyAlignment="1">
      <alignment horizontal="center" vertical="center"/>
    </xf>
    <xf numFmtId="0" fontId="22" fillId="5" borderId="1" xfId="0" applyFont="1" applyFill="1" applyBorder="1" applyAlignment="1">
      <alignment vertical="top" wrapText="1"/>
    </xf>
    <xf numFmtId="0" fontId="20" fillId="5" borderId="1" xfId="0" applyFont="1" applyFill="1" applyBorder="1" applyAlignment="1" applyProtection="1">
      <alignment horizontal="center" vertical="center" wrapText="1"/>
      <protection locked="0"/>
    </xf>
    <xf numFmtId="0" fontId="29" fillId="5" borderId="1" xfId="0" applyFont="1" applyFill="1" applyBorder="1" applyAlignment="1">
      <alignment vertical="top" wrapText="1"/>
    </xf>
    <xf numFmtId="0" fontId="2" fillId="5" borderId="1" xfId="0" applyFont="1" applyFill="1" applyBorder="1" applyAlignment="1" applyProtection="1">
      <alignment vertical="top" wrapText="1"/>
      <protection locked="0"/>
    </xf>
    <xf numFmtId="0" fontId="20" fillId="5" borderId="1" xfId="0" applyFont="1" applyFill="1" applyBorder="1" applyAlignment="1">
      <alignment wrapText="1"/>
    </xf>
    <xf numFmtId="0" fontId="35" fillId="0" borderId="1" xfId="0" applyFont="1" applyBorder="1" applyAlignment="1" applyProtection="1">
      <alignment vertical="top" wrapText="1"/>
      <protection locked="0"/>
    </xf>
    <xf numFmtId="0" fontId="2" fillId="0" borderId="1" xfId="1" applyFont="1" applyFill="1" applyBorder="1" applyAlignment="1" applyProtection="1">
      <alignment vertical="top" wrapText="1"/>
      <protection locked="0"/>
    </xf>
    <xf numFmtId="0" fontId="17" fillId="0" borderId="0" xfId="0" applyFont="1"/>
    <xf numFmtId="49" fontId="21" fillId="5" borderId="1" xfId="0" applyNumberFormat="1" applyFont="1" applyFill="1" applyBorder="1" applyAlignment="1" applyProtection="1">
      <alignment vertical="top" wrapText="1"/>
      <protection locked="0"/>
    </xf>
    <xf numFmtId="0" fontId="30" fillId="4" borderId="2" xfId="0" applyFont="1" applyFill="1" applyBorder="1" applyAlignment="1" applyProtection="1">
      <alignment horizontal="center" vertical="center" wrapText="1"/>
      <protection locked="0"/>
    </xf>
    <xf numFmtId="49" fontId="20" fillId="5" borderId="1" xfId="0" applyNumberFormat="1" applyFont="1" applyFill="1" applyBorder="1" applyAlignment="1" applyProtection="1">
      <alignment vertical="top" wrapText="1"/>
      <protection locked="0"/>
    </xf>
    <xf numFmtId="0" fontId="21" fillId="5" borderId="1" xfId="0" applyFont="1" applyFill="1" applyBorder="1" applyAlignment="1">
      <alignment vertical="top" wrapText="1"/>
    </xf>
    <xf numFmtId="0" fontId="20" fillId="0" borderId="1" xfId="0" applyFont="1" applyBorder="1" applyAlignment="1">
      <alignment horizontal="left" vertical="top" wrapText="1"/>
    </xf>
    <xf numFmtId="49" fontId="2" fillId="0" borderId="1" xfId="1" applyNumberFormat="1" applyFont="1" applyFill="1" applyBorder="1" applyAlignment="1" applyProtection="1">
      <alignment horizontal="left" vertical="top" wrapText="1"/>
      <protection locked="0"/>
    </xf>
    <xf numFmtId="49" fontId="2" fillId="5" borderId="1" xfId="1" applyNumberFormat="1" applyFont="1" applyFill="1" applyBorder="1" applyAlignment="1" applyProtection="1">
      <alignment horizontal="left" vertical="top" wrapText="1"/>
      <protection locked="0"/>
    </xf>
    <xf numFmtId="0" fontId="35" fillId="0" borderId="1" xfId="0" applyFont="1" applyBorder="1" applyAlignment="1">
      <alignment vertical="top" wrapText="1"/>
    </xf>
    <xf numFmtId="0" fontId="20" fillId="5" borderId="1" xfId="0" applyFont="1" applyFill="1" applyBorder="1" applyAlignment="1" applyProtection="1">
      <alignment horizontal="left" vertical="top"/>
      <protection locked="0"/>
    </xf>
    <xf numFmtId="0" fontId="20" fillId="0" borderId="1" xfId="0" applyFont="1" applyBorder="1" applyAlignment="1">
      <alignment horizontal="center" wrapText="1"/>
    </xf>
    <xf numFmtId="0" fontId="24" fillId="0" borderId="1" xfId="0" applyFont="1" applyBorder="1" applyAlignment="1" applyProtection="1">
      <alignment horizontal="left" vertical="top" wrapText="1"/>
      <protection locked="0"/>
    </xf>
    <xf numFmtId="0" fontId="20" fillId="0" borderId="1" xfId="0" applyFont="1" applyBorder="1" applyAlignment="1">
      <alignment horizontal="center" vertical="top"/>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0" fontId="2" fillId="4" borderId="2" xfId="0" applyFont="1" applyFill="1" applyBorder="1" applyAlignment="1" applyProtection="1">
      <alignment horizontal="center" vertical="top" wrapText="1"/>
      <protection locked="0"/>
    </xf>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left" vertical="top" wrapText="1"/>
      <protection locked="0"/>
    </xf>
    <xf numFmtId="0" fontId="36" fillId="4" borderId="2" xfId="0" applyFont="1" applyFill="1" applyBorder="1" applyAlignment="1">
      <alignment horizontal="left" vertical="top" wrapText="1"/>
    </xf>
    <xf numFmtId="0" fontId="36" fillId="4" borderId="2" xfId="0" applyFont="1" applyFill="1" applyBorder="1" applyAlignment="1" applyProtection="1">
      <alignment horizontal="left" vertical="top" wrapText="1"/>
      <protection locked="0"/>
    </xf>
    <xf numFmtId="0" fontId="2" fillId="0" borderId="0" xfId="0" applyFont="1" applyAlignment="1">
      <alignment horizontal="left" vertical="top" wrapText="1"/>
    </xf>
    <xf numFmtId="0" fontId="1" fillId="3" borderId="1" xfId="0" applyFont="1" applyFill="1" applyBorder="1" applyAlignment="1">
      <alignment horizontal="center" vertical="top" wrapText="1"/>
    </xf>
    <xf numFmtId="0" fontId="20" fillId="3" borderId="1" xfId="0" applyFont="1" applyFill="1" applyBorder="1" applyAlignment="1">
      <alignment vertical="top" wrapText="1"/>
    </xf>
    <xf numFmtId="49" fontId="21" fillId="5" borderId="1" xfId="0" applyNumberFormat="1" applyFont="1" applyFill="1" applyBorder="1" applyAlignment="1" applyProtection="1">
      <alignment horizontal="left" vertical="top" wrapText="1"/>
      <protection locked="0"/>
    </xf>
    <xf numFmtId="0" fontId="35" fillId="5" borderId="1" xfId="0" applyFont="1" applyFill="1" applyBorder="1" applyAlignment="1">
      <alignment horizontal="center" vertical="top" wrapText="1"/>
    </xf>
    <xf numFmtId="0" fontId="20" fillId="5" borderId="1" xfId="0" applyFont="1" applyFill="1" applyBorder="1" applyAlignment="1">
      <alignment horizontal="left" vertical="center" wrapText="1"/>
    </xf>
    <xf numFmtId="49" fontId="23" fillId="5" borderId="1" xfId="1" applyNumberFormat="1" applyFont="1" applyFill="1" applyBorder="1" applyAlignment="1" applyProtection="1">
      <alignment vertical="top" wrapText="1"/>
      <protection locked="0"/>
    </xf>
    <xf numFmtId="0" fontId="23" fillId="5" borderId="1" xfId="1" applyFont="1" applyFill="1" applyBorder="1" applyAlignment="1" applyProtection="1">
      <alignmen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20" fillId="6" borderId="1" xfId="0" applyNumberFormat="1" applyFont="1" applyFill="1" applyBorder="1" applyAlignment="1">
      <alignment horizontal="left" vertical="top" wrapText="1"/>
    </xf>
    <xf numFmtId="0" fontId="2" fillId="5" borderId="1" xfId="0" applyFont="1" applyFill="1" applyBorder="1" applyAlignment="1">
      <alignment horizontal="center" vertical="top" wrapText="1"/>
    </xf>
    <xf numFmtId="0" fontId="1" fillId="7" borderId="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0" borderId="1" xfId="1" applyNumberFormat="1" applyFont="1" applyFill="1" applyBorder="1" applyAlignment="1" applyProtection="1">
      <alignment horizontal="left" vertical="top" wrapText="1"/>
      <protection locked="0"/>
    </xf>
    <xf numFmtId="0" fontId="20" fillId="0" borderId="4" xfId="0" applyFont="1" applyBorder="1" applyAlignment="1">
      <alignment vertical="top" wrapText="1"/>
    </xf>
    <xf numFmtId="0" fontId="20" fillId="8" borderId="4" xfId="0" applyFont="1" applyFill="1" applyBorder="1" applyAlignment="1">
      <alignment vertical="top" wrapText="1"/>
    </xf>
    <xf numFmtId="0" fontId="20" fillId="5" borderId="4" xfId="0" applyFont="1" applyFill="1" applyBorder="1" applyAlignment="1">
      <alignment vertical="top" wrapText="1"/>
    </xf>
    <xf numFmtId="0" fontId="20" fillId="0" borderId="14" xfId="0" applyFont="1" applyBorder="1" applyAlignment="1">
      <alignment vertical="top" wrapText="1"/>
    </xf>
    <xf numFmtId="0" fontId="20"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37" fillId="0" borderId="0" xfId="0" applyFont="1" applyAlignment="1">
      <alignment horizontal="left" indent="5"/>
    </xf>
    <xf numFmtId="0" fontId="2" fillId="4" borderId="1" xfId="0" applyFont="1" applyFill="1" applyBorder="1" applyAlignment="1">
      <alignment horizontal="right" wrapText="1"/>
    </xf>
    <xf numFmtId="0" fontId="20" fillId="0" borderId="1" xfId="0" applyFont="1" applyBorder="1"/>
    <xf numFmtId="0" fontId="20" fillId="8" borderId="15" xfId="0" applyFont="1" applyFill="1" applyBorder="1" applyAlignment="1">
      <alignment vertical="top" wrapText="1"/>
    </xf>
    <xf numFmtId="0" fontId="20" fillId="0" borderId="16" xfId="0" applyFont="1" applyBorder="1" applyAlignment="1">
      <alignment vertical="top" wrapText="1"/>
    </xf>
    <xf numFmtId="0" fontId="20" fillId="5" borderId="16" xfId="0" applyFont="1" applyFill="1" applyBorder="1" applyAlignment="1">
      <alignment vertical="top" wrapText="1"/>
    </xf>
    <xf numFmtId="0" fontId="20" fillId="0" borderId="5" xfId="0" applyFont="1" applyBorder="1" applyAlignment="1" applyProtection="1">
      <alignment vertical="top" wrapText="1"/>
      <protection locked="0"/>
    </xf>
    <xf numFmtId="0" fontId="23" fillId="0" borderId="5" xfId="1" applyFont="1" applyFill="1" applyBorder="1" applyAlignment="1" applyProtection="1">
      <alignment vertical="top" wrapText="1"/>
      <protection locked="0"/>
    </xf>
    <xf numFmtId="0" fontId="20" fillId="0" borderId="5" xfId="0" applyFont="1" applyBorder="1"/>
    <xf numFmtId="0" fontId="20" fillId="0" borderId="5" xfId="0" applyFont="1" applyBorder="1" applyAlignment="1">
      <alignment vertical="top" wrapText="1"/>
    </xf>
    <xf numFmtId="0" fontId="20" fillId="0" borderId="17" xfId="0" applyFont="1" applyBorder="1" applyAlignment="1">
      <alignment vertical="top" wrapText="1"/>
    </xf>
    <xf numFmtId="0" fontId="38" fillId="0" borderId="1" xfId="0" applyFont="1" applyBorder="1" applyAlignment="1">
      <alignment horizontal="center" vertical="top" wrapText="1"/>
    </xf>
    <xf numFmtId="0" fontId="38" fillId="0" borderId="1" xfId="0" applyFont="1" applyBorder="1" applyAlignment="1">
      <alignment vertical="top" wrapText="1"/>
    </xf>
    <xf numFmtId="0" fontId="2" fillId="0" borderId="1" xfId="0" applyFont="1" applyBorder="1" applyAlignment="1">
      <alignment horizontal="left" vertical="top" wrapText="1"/>
    </xf>
    <xf numFmtId="0" fontId="0" fillId="0" borderId="1" xfId="0" applyBorder="1"/>
    <xf numFmtId="0" fontId="38" fillId="0" borderId="1" xfId="0" applyFont="1" applyBorder="1" applyAlignment="1">
      <alignment wrapText="1"/>
    </xf>
    <xf numFmtId="0" fontId="39" fillId="0" borderId="0" xfId="0" applyFont="1" applyAlignment="1">
      <alignment horizontal="center" vertical="top" wrapText="1"/>
    </xf>
    <xf numFmtId="0" fontId="14" fillId="5" borderId="7" xfId="1" applyFill="1" applyBorder="1" applyAlignment="1" applyProtection="1">
      <alignment horizontal="center" wrapText="1"/>
    </xf>
    <xf numFmtId="0" fontId="20" fillId="5" borderId="1" xfId="0" applyFont="1" applyFill="1" applyBorder="1" applyAlignment="1" applyProtection="1">
      <alignment horizontal="center" vertical="top" wrapText="1"/>
      <protection locked="0"/>
    </xf>
    <xf numFmtId="49" fontId="14" fillId="0" borderId="1" xfId="1" applyNumberFormat="1" applyFill="1" applyBorder="1" applyAlignment="1" applyProtection="1">
      <alignment vertical="top" wrapText="1"/>
      <protection locked="0"/>
    </xf>
    <xf numFmtId="49" fontId="14" fillId="0" borderId="1" xfId="1" applyNumberFormat="1" applyFill="1" applyBorder="1" applyAlignment="1" applyProtection="1">
      <alignment horizontal="left" vertical="top" wrapText="1"/>
      <protection locked="0"/>
    </xf>
    <xf numFmtId="0" fontId="20" fillId="5" borderId="1" xfId="0" applyFont="1" applyFill="1" applyBorder="1" applyAlignment="1">
      <alignment horizontal="center" vertical="top"/>
    </xf>
    <xf numFmtId="0" fontId="20" fillId="5" borderId="1" xfId="0" applyFont="1" applyFill="1" applyBorder="1" applyAlignment="1" applyProtection="1">
      <alignment horizontal="center" vertical="top"/>
      <protection locked="0"/>
    </xf>
    <xf numFmtId="0" fontId="20" fillId="0" borderId="1" xfId="0" applyFont="1" applyBorder="1" applyAlignment="1" applyProtection="1">
      <alignment horizontal="center" vertical="top" wrapText="1"/>
      <protection locked="0"/>
    </xf>
    <xf numFmtId="0" fontId="14" fillId="0" borderId="0" xfId="1" applyAlignment="1" applyProtection="1">
      <alignment horizontal="center" vertical="top"/>
    </xf>
    <xf numFmtId="0" fontId="24" fillId="0" borderId="1" xfId="0" applyFont="1" applyBorder="1" applyAlignment="1" applyProtection="1">
      <alignment horizontal="center" vertical="top" wrapText="1"/>
      <protection locked="0"/>
    </xf>
    <xf numFmtId="0" fontId="35" fillId="5" borderId="1" xfId="0" applyFont="1" applyFill="1" applyBorder="1" applyAlignment="1" applyProtection="1">
      <alignment horizontal="center" vertical="top"/>
      <protection locked="0"/>
    </xf>
    <xf numFmtId="0" fontId="35" fillId="0" borderId="1" xfId="0" applyFont="1" applyBorder="1" applyAlignment="1" applyProtection="1">
      <alignment horizontal="center" vertical="top"/>
      <protection locked="0"/>
    </xf>
    <xf numFmtId="0" fontId="20" fillId="5"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6" borderId="1" xfId="0" applyFont="1" applyFill="1" applyBorder="1" applyAlignment="1">
      <alignment horizontal="center" vertical="center"/>
    </xf>
    <xf numFmtId="0" fontId="36" fillId="5" borderId="1" xfId="0" applyFont="1" applyFill="1" applyBorder="1" applyAlignment="1">
      <alignment horizontal="center" wrapText="1"/>
    </xf>
    <xf numFmtId="0" fontId="20" fillId="5" borderId="1" xfId="0" applyFont="1" applyFill="1" applyBorder="1" applyAlignment="1">
      <alignment horizontal="center" wrapText="1"/>
    </xf>
    <xf numFmtId="49" fontId="20" fillId="0" borderId="1" xfId="0" applyNumberFormat="1" applyFont="1" applyBorder="1"/>
    <xf numFmtId="0" fontId="20" fillId="0" borderId="6" xfId="0" applyFont="1" applyBorder="1"/>
    <xf numFmtId="0" fontId="20" fillId="0" borderId="1" xfId="0" applyFont="1" applyBorder="1" applyAlignment="1">
      <alignment horizontal="left" wrapText="1"/>
    </xf>
    <xf numFmtId="49" fontId="20" fillId="0" borderId="1" xfId="0" applyNumberFormat="1" applyFont="1" applyBorder="1" applyAlignment="1">
      <alignment horizontal="center"/>
    </xf>
    <xf numFmtId="0" fontId="38" fillId="0" borderId="9" xfId="0" applyFont="1" applyBorder="1" applyAlignment="1">
      <alignment vertical="top" wrapText="1"/>
    </xf>
    <xf numFmtId="0" fontId="38" fillId="0" borderId="9" xfId="0" applyFont="1" applyBorder="1" applyAlignment="1">
      <alignment horizontal="center" vertical="top" wrapText="1"/>
    </xf>
    <xf numFmtId="0" fontId="38" fillId="0" borderId="8" xfId="0" applyFont="1" applyBorder="1" applyAlignment="1">
      <alignment horizontal="center" vertical="top" wrapText="1"/>
    </xf>
    <xf numFmtId="0" fontId="38" fillId="0" borderId="9" xfId="0" applyFont="1" applyBorder="1" applyAlignment="1">
      <alignment horizontal="center" vertical="top"/>
    </xf>
    <xf numFmtId="0" fontId="16" fillId="0" borderId="0" xfId="0" applyFont="1"/>
    <xf numFmtId="49" fontId="20" fillId="0" borderId="6" xfId="0" applyNumberFormat="1" applyFont="1" applyBorder="1"/>
    <xf numFmtId="0" fontId="29" fillId="0" borderId="0" xfId="0" applyFont="1"/>
    <xf numFmtId="49" fontId="2" fillId="5" borderId="1" xfId="0" applyNumberFormat="1" applyFont="1" applyFill="1" applyBorder="1" applyAlignment="1">
      <alignment horizontal="left" vertical="top" wrapText="1"/>
    </xf>
    <xf numFmtId="49" fontId="2" fillId="6" borderId="1" xfId="0" applyNumberFormat="1" applyFont="1" applyFill="1" applyBorder="1" applyAlignment="1">
      <alignment horizontal="left" vertical="top" wrapText="1"/>
    </xf>
    <xf numFmtId="49" fontId="2" fillId="0" borderId="1" xfId="0" applyNumberFormat="1" applyFont="1" applyBorder="1" applyAlignment="1">
      <alignment horizontal="left" vertical="top" wrapText="1"/>
    </xf>
    <xf numFmtId="49" fontId="1" fillId="5" borderId="1" xfId="0" applyNumberFormat="1" applyFont="1" applyFill="1" applyBorder="1" applyAlignment="1" applyProtection="1">
      <alignment vertical="top" wrapText="1"/>
      <protection locked="0"/>
    </xf>
    <xf numFmtId="0" fontId="2" fillId="5" borderId="1" xfId="0" applyFont="1" applyFill="1" applyBorder="1" applyAlignment="1" applyProtection="1">
      <alignment horizontal="left" vertical="top"/>
      <protection locked="0"/>
    </xf>
    <xf numFmtId="0" fontId="2" fillId="11" borderId="1" xfId="0" applyFont="1" applyFill="1" applyBorder="1" applyAlignment="1" applyProtection="1">
      <alignment vertical="top" wrapText="1"/>
      <protection locked="0"/>
    </xf>
    <xf numFmtId="0" fontId="1" fillId="7" borderId="2" xfId="0" applyFont="1" applyFill="1" applyBorder="1" applyAlignment="1">
      <alignment horizontal="center" vertical="center" wrapText="1"/>
    </xf>
    <xf numFmtId="0" fontId="20" fillId="12" borderId="1" xfId="0" applyFont="1" applyFill="1" applyBorder="1" applyAlignment="1" applyProtection="1">
      <alignment vertical="top" wrapText="1"/>
      <protection locked="0"/>
    </xf>
    <xf numFmtId="0" fontId="20" fillId="3" borderId="1" xfId="0" applyFont="1" applyFill="1" applyBorder="1" applyAlignment="1" applyProtection="1">
      <alignment vertical="top" wrapText="1"/>
      <protection locked="0"/>
    </xf>
    <xf numFmtId="0" fontId="2" fillId="12" borderId="1" xfId="0" applyFont="1" applyFill="1" applyBorder="1" applyAlignment="1" applyProtection="1">
      <alignment vertical="top" wrapText="1"/>
      <protection locked="0"/>
    </xf>
    <xf numFmtId="0" fontId="20" fillId="12" borderId="1" xfId="0" applyFont="1" applyFill="1" applyBorder="1" applyAlignment="1">
      <alignment vertical="top" wrapText="1"/>
    </xf>
    <xf numFmtId="0" fontId="22" fillId="4" borderId="2" xfId="0" applyFont="1" applyFill="1" applyBorder="1" applyAlignment="1">
      <alignment horizontal="left" vertical="top" wrapText="1"/>
    </xf>
    <xf numFmtId="0" fontId="22" fillId="0" borderId="1" xfId="0" applyFont="1" applyBorder="1" applyAlignment="1" applyProtection="1">
      <alignment horizontal="left" vertical="top"/>
      <protection locked="0"/>
    </xf>
    <xf numFmtId="0" fontId="22" fillId="0" borderId="1" xfId="0" applyFont="1" applyBorder="1" applyAlignment="1" applyProtection="1">
      <alignment horizontal="center"/>
      <protection locked="0"/>
    </xf>
    <xf numFmtId="0" fontId="22" fillId="0" borderId="1" xfId="0" applyFont="1" applyBorder="1" applyAlignment="1" applyProtection="1">
      <alignment horizontal="left" vertical="top" wrapText="1"/>
      <protection locked="0"/>
    </xf>
    <xf numFmtId="0" fontId="22" fillId="5" borderId="1" xfId="0" applyFont="1" applyFill="1" applyBorder="1" applyAlignment="1" applyProtection="1">
      <alignment horizontal="center"/>
      <protection locked="0"/>
    </xf>
    <xf numFmtId="0" fontId="20" fillId="0" borderId="6" xfId="0" applyFont="1" applyBorder="1" applyAlignment="1">
      <alignment horizontal="left" vertical="top" wrapText="1"/>
    </xf>
    <xf numFmtId="0" fontId="20" fillId="3" borderId="1" xfId="0" applyFont="1" applyFill="1" applyBorder="1" applyAlignment="1">
      <alignment vertical="top"/>
    </xf>
    <xf numFmtId="0" fontId="20" fillId="3" borderId="1" xfId="0" applyFont="1" applyFill="1" applyBorder="1" applyAlignment="1">
      <alignment horizontal="center" vertical="top" wrapText="1"/>
    </xf>
    <xf numFmtId="0" fontId="21" fillId="3" borderId="1" xfId="0" applyFont="1" applyFill="1" applyBorder="1" applyAlignment="1">
      <alignment horizontal="center" vertical="top" wrapText="1"/>
    </xf>
    <xf numFmtId="0" fontId="22" fillId="3" borderId="1" xfId="0" applyFont="1" applyFill="1" applyBorder="1" applyAlignment="1">
      <alignment vertical="top" wrapText="1"/>
    </xf>
    <xf numFmtId="49" fontId="20" fillId="3" borderId="1" xfId="0" applyNumberFormat="1" applyFont="1" applyFill="1" applyBorder="1" applyAlignment="1">
      <alignment horizontal="left" vertical="top" wrapText="1"/>
    </xf>
    <xf numFmtId="49" fontId="20" fillId="3" borderId="1" xfId="0" applyNumberFormat="1" applyFont="1" applyFill="1" applyBorder="1" applyAlignment="1" applyProtection="1">
      <alignment vertical="top" wrapText="1"/>
      <protection locked="0"/>
    </xf>
    <xf numFmtId="0" fontId="20" fillId="3" borderId="1" xfId="0" applyFont="1" applyFill="1" applyBorder="1" applyAlignment="1">
      <alignment horizontal="center" vertical="top"/>
    </xf>
    <xf numFmtId="0" fontId="35" fillId="3" borderId="1" xfId="0" applyFont="1" applyFill="1" applyBorder="1" applyAlignment="1" applyProtection="1">
      <alignment horizontal="center" vertical="center"/>
      <protection locked="0"/>
    </xf>
    <xf numFmtId="0" fontId="29" fillId="0" borderId="1" xfId="0" applyFont="1" applyBorder="1" applyAlignment="1">
      <alignment horizontal="left" vertical="top" wrapText="1"/>
    </xf>
    <xf numFmtId="0" fontId="29" fillId="0" borderId="1" xfId="0" applyFont="1" applyBorder="1" applyAlignment="1">
      <alignment wrapText="1"/>
    </xf>
    <xf numFmtId="0" fontId="29" fillId="0" borderId="9" xfId="0" applyFont="1" applyBorder="1" applyAlignment="1">
      <alignment wrapText="1"/>
    </xf>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29" fillId="0" borderId="1" xfId="0" applyFont="1" applyBorder="1" applyAlignment="1" applyProtection="1">
      <alignment vertical="top" wrapText="1"/>
      <protection locked="0"/>
    </xf>
    <xf numFmtId="0" fontId="20" fillId="0" borderId="18" xfId="0" applyFont="1" applyBorder="1" applyAlignment="1" applyProtection="1">
      <alignment horizontal="center" vertical="top"/>
      <protection locked="0"/>
    </xf>
    <xf numFmtId="49" fontId="21" fillId="0" borderId="18" xfId="0" applyNumberFormat="1" applyFont="1" applyBorder="1" applyAlignment="1" applyProtection="1">
      <alignment vertical="top" wrapText="1"/>
      <protection locked="0"/>
    </xf>
    <xf numFmtId="0" fontId="21" fillId="0" borderId="18" xfId="0" applyFont="1" applyBorder="1" applyAlignment="1" applyProtection="1">
      <alignment horizontal="left" vertical="top" wrapText="1"/>
      <protection locked="0"/>
    </xf>
    <xf numFmtId="0" fontId="20" fillId="0" borderId="18" xfId="0" applyFont="1" applyBorder="1" applyProtection="1">
      <protection locked="0"/>
    </xf>
    <xf numFmtId="0" fontId="29" fillId="0" borderId="18" xfId="0" applyFont="1" applyBorder="1" applyAlignment="1" applyProtection="1">
      <alignment vertical="top" wrapText="1"/>
      <protection locked="0"/>
    </xf>
    <xf numFmtId="0" fontId="20" fillId="0" borderId="18" xfId="0" applyFont="1" applyBorder="1" applyAlignment="1" applyProtection="1">
      <alignment vertical="top" wrapText="1"/>
      <protection locked="0"/>
    </xf>
    <xf numFmtId="0" fontId="20" fillId="0" borderId="18" xfId="0" applyFont="1" applyBorder="1" applyAlignment="1" applyProtection="1">
      <alignment vertical="top"/>
      <protection locked="0"/>
    </xf>
    <xf numFmtId="0" fontId="20" fillId="0" borderId="18" xfId="0" applyFont="1" applyBorder="1" applyAlignment="1" applyProtection="1">
      <alignment horizontal="left" vertical="top" wrapText="1"/>
      <protection locked="0"/>
    </xf>
    <xf numFmtId="0" fontId="29" fillId="0" borderId="4" xfId="0" applyFont="1" applyBorder="1" applyAlignment="1" applyProtection="1">
      <alignment vertical="top" wrapText="1"/>
      <protection locked="0"/>
    </xf>
    <xf numFmtId="0" fontId="20" fillId="0" borderId="2" xfId="0" applyFont="1" applyBorder="1" applyAlignment="1">
      <alignment horizontal="center" vertical="top" wrapText="1"/>
    </xf>
    <xf numFmtId="49" fontId="21" fillId="0" borderId="2" xfId="0" applyNumberFormat="1" applyFont="1" applyBorder="1" applyAlignment="1" applyProtection="1">
      <alignment vertical="top" wrapText="1"/>
      <protection locked="0"/>
    </xf>
    <xf numFmtId="0" fontId="20" fillId="0" borderId="2" xfId="0" applyFont="1" applyBorder="1" applyAlignment="1" applyProtection="1">
      <alignment horizontal="center" vertical="top"/>
      <protection locked="0"/>
    </xf>
    <xf numFmtId="0" fontId="24" fillId="0" borderId="2" xfId="0" applyFont="1" applyBorder="1" applyAlignment="1" applyProtection="1">
      <alignment horizontal="left" vertical="top" wrapText="1"/>
      <protection locked="0"/>
    </xf>
    <xf numFmtId="0" fontId="29" fillId="0" borderId="2" xfId="0" applyFont="1" applyBorder="1" applyAlignment="1" applyProtection="1">
      <alignment vertical="top" wrapText="1"/>
      <protection locked="0"/>
    </xf>
    <xf numFmtId="0" fontId="20" fillId="0" borderId="2" xfId="0" applyFont="1" applyBorder="1" applyAlignment="1" applyProtection="1">
      <alignment horizontal="left" vertical="top" wrapText="1"/>
      <protection locked="0"/>
    </xf>
    <xf numFmtId="0" fontId="20" fillId="0" borderId="2" xfId="0" applyFont="1" applyBorder="1" applyAlignment="1" applyProtection="1">
      <alignment vertical="top" wrapText="1"/>
      <protection locked="0"/>
    </xf>
    <xf numFmtId="0" fontId="21" fillId="0" borderId="18" xfId="0" applyFont="1" applyBorder="1" applyAlignment="1" applyProtection="1">
      <alignment horizontal="center" vertical="top" wrapText="1"/>
      <protection locked="0"/>
    </xf>
    <xf numFmtId="0" fontId="22" fillId="0" borderId="6" xfId="0" applyFont="1" applyBorder="1" applyAlignment="1" applyProtection="1">
      <alignment vertical="top" wrapText="1"/>
      <protection locked="0"/>
    </xf>
    <xf numFmtId="0" fontId="2" fillId="0" borderId="2" xfId="0" applyFont="1" applyBorder="1" applyAlignment="1">
      <alignment horizontal="right" wrapText="1"/>
    </xf>
    <xf numFmtId="0" fontId="20" fillId="0" borderId="2" xfId="0" applyFont="1" applyBorder="1" applyAlignment="1" applyProtection="1">
      <alignment vertical="top"/>
      <protection locked="0"/>
    </xf>
    <xf numFmtId="0" fontId="21" fillId="0" borderId="2" xfId="0" applyFont="1" applyBorder="1" applyAlignment="1" applyProtection="1">
      <alignment horizontal="center" vertical="top" wrapText="1"/>
      <protection locked="0"/>
    </xf>
    <xf numFmtId="0" fontId="20" fillId="0" borderId="2" xfId="0" applyFont="1" applyBorder="1" applyAlignment="1">
      <alignment vertical="top" wrapText="1"/>
    </xf>
    <xf numFmtId="14" fontId="20" fillId="0" borderId="2" xfId="0" applyNumberFormat="1" applyFont="1" applyBorder="1" applyAlignment="1" applyProtection="1">
      <alignment vertical="top"/>
      <protection locked="0"/>
    </xf>
    <xf numFmtId="14" fontId="20" fillId="0" borderId="18" xfId="0" applyNumberFormat="1" applyFont="1" applyBorder="1" applyAlignment="1" applyProtection="1">
      <alignment vertical="top"/>
      <protection locked="0"/>
    </xf>
    <xf numFmtId="0" fontId="22" fillId="0" borderId="18" xfId="0" applyFont="1" applyBorder="1" applyAlignment="1" applyProtection="1">
      <alignment vertical="top" wrapText="1"/>
      <protection locked="0"/>
    </xf>
    <xf numFmtId="0" fontId="20" fillId="0" borderId="19" xfId="0" applyFont="1" applyBorder="1" applyProtection="1">
      <protection locked="0"/>
    </xf>
    <xf numFmtId="14" fontId="20" fillId="0" borderId="19" xfId="0" applyNumberFormat="1" applyFont="1" applyBorder="1" applyAlignment="1" applyProtection="1">
      <alignment horizontal="center"/>
      <protection locked="0"/>
    </xf>
    <xf numFmtId="0" fontId="20" fillId="0" borderId="19" xfId="0" applyFont="1" applyBorder="1" applyAlignment="1" applyProtection="1">
      <alignment horizontal="center"/>
      <protection locked="0"/>
    </xf>
    <xf numFmtId="0" fontId="20" fillId="0" borderId="19" xfId="0" applyFont="1" applyBorder="1" applyAlignment="1" applyProtection="1">
      <alignment horizontal="center" vertical="top"/>
      <protection locked="0"/>
    </xf>
    <xf numFmtId="0" fontId="21" fillId="0" borderId="19" xfId="0" applyFont="1" applyBorder="1" applyAlignment="1" applyProtection="1">
      <alignment horizontal="center" vertical="top" wrapText="1"/>
      <protection locked="0"/>
    </xf>
    <xf numFmtId="0" fontId="20" fillId="0" borderId="19" xfId="0" applyFont="1" applyBorder="1" applyAlignment="1" applyProtection="1">
      <alignment horizontal="left" vertical="top" wrapText="1"/>
      <protection locked="0"/>
    </xf>
    <xf numFmtId="0" fontId="20" fillId="0" borderId="19" xfId="0" applyFont="1" applyBorder="1" applyAlignment="1" applyProtection="1">
      <alignment vertical="top" wrapText="1"/>
      <protection locked="0"/>
    </xf>
    <xf numFmtId="0" fontId="22" fillId="0" borderId="3" xfId="0" applyFont="1" applyBorder="1" applyAlignment="1" applyProtection="1">
      <alignment vertical="top" wrapText="1"/>
      <protection locked="0"/>
    </xf>
    <xf numFmtId="0" fontId="29" fillId="0" borderId="11" xfId="0" applyFont="1" applyBorder="1" applyAlignment="1" applyProtection="1">
      <alignment vertical="top" wrapText="1"/>
      <protection locked="0"/>
    </xf>
    <xf numFmtId="49" fontId="2" fillId="0" borderId="19" xfId="0" applyNumberFormat="1" applyFont="1" applyBorder="1" applyAlignment="1" applyProtection="1">
      <alignment vertical="top" wrapText="1"/>
      <protection locked="0"/>
    </xf>
    <xf numFmtId="0" fontId="21" fillId="0" borderId="19" xfId="0" applyFont="1" applyBorder="1" applyAlignment="1" applyProtection="1">
      <alignment horizontal="left" vertical="top" wrapText="1"/>
      <protection locked="0"/>
    </xf>
    <xf numFmtId="0" fontId="20" fillId="0" borderId="19" xfId="0" applyFont="1" applyBorder="1" applyAlignment="1" applyProtection="1">
      <alignment vertical="top"/>
      <protection locked="0"/>
    </xf>
    <xf numFmtId="0" fontId="45" fillId="0" borderId="20" xfId="0" applyFont="1" applyBorder="1" applyAlignment="1">
      <alignment vertical="top" wrapText="1"/>
    </xf>
    <xf numFmtId="0" fontId="20" fillId="0" borderId="18" xfId="0" applyFont="1" applyBorder="1" applyAlignment="1">
      <alignment horizontal="center" vertical="top" wrapText="1"/>
    </xf>
    <xf numFmtId="0" fontId="20" fillId="0" borderId="18" xfId="0" applyFont="1" applyBorder="1" applyAlignment="1">
      <alignment horizontal="center" vertical="center"/>
    </xf>
    <xf numFmtId="49" fontId="20" fillId="0" borderId="18" xfId="0" applyNumberFormat="1" applyFont="1" applyBorder="1" applyAlignment="1">
      <alignment horizontal="left" vertical="top" wrapText="1"/>
    </xf>
    <xf numFmtId="0" fontId="20" fillId="0" borderId="18" xfId="0" applyFont="1" applyBorder="1" applyAlignment="1">
      <alignment vertical="top" wrapText="1"/>
    </xf>
    <xf numFmtId="49" fontId="2" fillId="0" borderId="18" xfId="0" applyNumberFormat="1" applyFont="1" applyBorder="1" applyAlignment="1">
      <alignment horizontal="left" vertical="top" wrapText="1"/>
    </xf>
    <xf numFmtId="0" fontId="34" fillId="0" borderId="18" xfId="0" applyFont="1" applyBorder="1" applyAlignment="1">
      <alignment horizontal="center" vertical="top" wrapText="1"/>
    </xf>
    <xf numFmtId="0" fontId="20" fillId="0" borderId="18" xfId="0" applyFont="1" applyBorder="1" applyAlignment="1" applyProtection="1">
      <alignment horizontal="center" vertical="center"/>
      <protection locked="0"/>
    </xf>
    <xf numFmtId="0" fontId="2" fillId="0" borderId="18" xfId="0" applyFont="1" applyBorder="1" applyAlignment="1" applyProtection="1">
      <alignment vertical="top" wrapText="1"/>
      <protection locked="0"/>
    </xf>
    <xf numFmtId="49" fontId="1" fillId="0" borderId="18" xfId="0" applyNumberFormat="1" applyFont="1" applyBorder="1" applyAlignment="1" applyProtection="1">
      <alignment vertical="top" wrapText="1"/>
      <protection locked="0"/>
    </xf>
    <xf numFmtId="0" fontId="22" fillId="0" borderId="4" xfId="0" applyFont="1" applyBorder="1" applyAlignment="1" applyProtection="1">
      <alignment vertical="top" wrapText="1"/>
      <protection locked="0"/>
    </xf>
    <xf numFmtId="0" fontId="22" fillId="0" borderId="20" xfId="0" applyFont="1" applyBorder="1" applyAlignment="1" applyProtection="1">
      <alignment vertical="top" wrapText="1"/>
      <protection locked="0"/>
    </xf>
    <xf numFmtId="0" fontId="22" fillId="0" borderId="21" xfId="0" applyFont="1" applyBorder="1" applyAlignment="1" applyProtection="1">
      <alignment vertical="top" wrapText="1"/>
      <protection locked="0"/>
    </xf>
    <xf numFmtId="0" fontId="22" fillId="0" borderId="14" xfId="0" applyFont="1" applyBorder="1" applyAlignment="1" applyProtection="1">
      <alignment vertical="top" wrapText="1"/>
      <protection locked="0"/>
    </xf>
    <xf numFmtId="0" fontId="20" fillId="5" borderId="2" xfId="0" applyFont="1" applyFill="1" applyBorder="1" applyAlignment="1">
      <alignment horizontal="center" vertical="top" wrapText="1"/>
    </xf>
    <xf numFmtId="0" fontId="20" fillId="5" borderId="2" xfId="0" applyFont="1" applyFill="1" applyBorder="1" applyAlignment="1">
      <alignment horizontal="center" vertical="center"/>
    </xf>
    <xf numFmtId="49" fontId="20" fillId="3" borderId="2" xfId="0" applyNumberFormat="1" applyFont="1" applyFill="1" applyBorder="1" applyAlignment="1">
      <alignment horizontal="left" vertical="top" wrapText="1"/>
    </xf>
    <xf numFmtId="49" fontId="20" fillId="5" borderId="2" xfId="0" applyNumberFormat="1" applyFont="1" applyFill="1" applyBorder="1" applyAlignment="1">
      <alignment horizontal="left" vertical="top" wrapText="1"/>
    </xf>
    <xf numFmtId="0" fontId="20" fillId="5" borderId="11" xfId="0" applyFont="1" applyFill="1" applyBorder="1" applyAlignment="1">
      <alignment vertical="top" wrapText="1"/>
    </xf>
    <xf numFmtId="49" fontId="2" fillId="5" borderId="2" xfId="0" applyNumberFormat="1" applyFont="1" applyFill="1" applyBorder="1" applyAlignment="1">
      <alignment horizontal="left" vertical="top" wrapText="1"/>
    </xf>
    <xf numFmtId="0" fontId="20" fillId="5" borderId="18" xfId="0" applyFont="1" applyFill="1" applyBorder="1" applyAlignment="1">
      <alignment vertical="top" wrapText="1"/>
    </xf>
    <xf numFmtId="49" fontId="2" fillId="5" borderId="6" xfId="0" applyNumberFormat="1" applyFont="1" applyFill="1" applyBorder="1" applyAlignment="1">
      <alignment horizontal="left" vertical="top" wrapText="1"/>
    </xf>
    <xf numFmtId="49" fontId="2" fillId="5" borderId="3" xfId="0" applyNumberFormat="1" applyFont="1" applyFill="1" applyBorder="1" applyAlignment="1">
      <alignment horizontal="left" vertical="top" wrapText="1"/>
    </xf>
    <xf numFmtId="0" fontId="20" fillId="5" borderId="22" xfId="0" applyFont="1" applyFill="1" applyBorder="1" applyAlignment="1">
      <alignment vertical="top" wrapText="1"/>
    </xf>
    <xf numFmtId="0" fontId="20" fillId="0" borderId="23" xfId="0" applyFont="1" applyBorder="1" applyAlignment="1">
      <alignment vertical="top" wrapText="1"/>
    </xf>
    <xf numFmtId="49" fontId="20" fillId="3" borderId="24" xfId="0" applyNumberFormat="1" applyFont="1" applyFill="1" applyBorder="1" applyAlignment="1">
      <alignment horizontal="left" vertical="top" wrapText="1"/>
    </xf>
    <xf numFmtId="0" fontId="20" fillId="0" borderId="25" xfId="0" applyFont="1" applyBorder="1" applyAlignment="1" applyProtection="1">
      <alignment vertical="top" wrapText="1"/>
      <protection locked="0"/>
    </xf>
    <xf numFmtId="0" fontId="2" fillId="13" borderId="2" xfId="0" applyFont="1" applyFill="1" applyBorder="1" applyAlignment="1">
      <alignment horizontal="left" vertical="top" wrapText="1"/>
    </xf>
    <xf numFmtId="0" fontId="2" fillId="13" borderId="3" xfId="0" applyFont="1" applyFill="1" applyBorder="1" applyAlignment="1">
      <alignment horizontal="left" vertical="top" wrapText="1"/>
    </xf>
    <xf numFmtId="0" fontId="29" fillId="0" borderId="6" xfId="0" applyFont="1" applyBorder="1" applyAlignment="1">
      <alignment horizontal="left" vertical="top" wrapText="1"/>
    </xf>
    <xf numFmtId="0" fontId="29" fillId="0" borderId="9" xfId="0" applyFont="1" applyBorder="1" applyAlignment="1">
      <alignment horizontal="left" vertical="top" wrapText="1"/>
    </xf>
    <xf numFmtId="0" fontId="29" fillId="0" borderId="10" xfId="0" applyFont="1" applyBorder="1" applyAlignment="1">
      <alignment horizontal="left" vertical="top" wrapText="1"/>
    </xf>
    <xf numFmtId="0" fontId="29" fillId="13" borderId="9" xfId="0" applyFont="1" applyFill="1" applyBorder="1" applyAlignment="1">
      <alignment horizontal="left" vertical="top" wrapText="1"/>
    </xf>
    <xf numFmtId="0" fontId="29" fillId="13" borderId="10" xfId="0" applyFont="1" applyFill="1" applyBorder="1" applyAlignment="1">
      <alignment horizontal="left" vertical="top" wrapText="1"/>
    </xf>
    <xf numFmtId="0" fontId="46" fillId="14" borderId="9" xfId="0" applyFont="1" applyFill="1" applyBorder="1" applyAlignment="1">
      <alignment horizontal="left" vertical="top" wrapText="1"/>
    </xf>
    <xf numFmtId="0" fontId="46" fillId="14" borderId="10" xfId="0" applyFont="1" applyFill="1" applyBorder="1" applyAlignment="1">
      <alignment horizontal="left" vertical="top" wrapText="1"/>
    </xf>
    <xf numFmtId="0" fontId="29" fillId="15" borderId="9" xfId="0" applyFont="1" applyFill="1" applyBorder="1" applyAlignment="1">
      <alignment horizontal="left" vertical="top" wrapText="1"/>
    </xf>
    <xf numFmtId="0" fontId="29" fillId="15" borderId="10"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13" borderId="9" xfId="0" applyFont="1" applyFill="1" applyBorder="1" applyAlignment="1">
      <alignment horizontal="left" vertical="top" wrapText="1"/>
    </xf>
    <xf numFmtId="0" fontId="2" fillId="13" borderId="10" xfId="0" applyFont="1" applyFill="1" applyBorder="1" applyAlignment="1">
      <alignment horizontal="left" vertical="top" wrapText="1"/>
    </xf>
    <xf numFmtId="0" fontId="2" fillId="15" borderId="9" xfId="0" applyFont="1" applyFill="1" applyBorder="1" applyAlignment="1">
      <alignment horizontal="left" vertical="top" wrapText="1"/>
    </xf>
    <xf numFmtId="0" fontId="2" fillId="15" borderId="10" xfId="0" applyFont="1" applyFill="1" applyBorder="1" applyAlignment="1">
      <alignment horizontal="left" vertical="top" wrapText="1"/>
    </xf>
    <xf numFmtId="0" fontId="29" fillId="14" borderId="9" xfId="0" applyFont="1" applyFill="1" applyBorder="1" applyAlignment="1">
      <alignment horizontal="left" vertical="top" wrapText="1"/>
    </xf>
    <xf numFmtId="0" fontId="29" fillId="14" borderId="10" xfId="0" applyFont="1" applyFill="1" applyBorder="1" applyAlignment="1">
      <alignment horizontal="left" vertical="top" wrapText="1"/>
    </xf>
    <xf numFmtId="0" fontId="48" fillId="14" borderId="9" xfId="0" applyFont="1" applyFill="1" applyBorder="1" applyAlignment="1">
      <alignment horizontal="left" vertical="top" wrapText="1"/>
    </xf>
    <xf numFmtId="0" fontId="22" fillId="13" borderId="9" xfId="0" applyFont="1" applyFill="1" applyBorder="1" applyAlignment="1">
      <alignment horizontal="left" vertical="top" wrapText="1"/>
    </xf>
    <xf numFmtId="0" fontId="49" fillId="13" borderId="10" xfId="0" applyFont="1" applyFill="1" applyBorder="1" applyAlignment="1">
      <alignment horizontal="left" vertical="top" wrapText="1"/>
    </xf>
    <xf numFmtId="0" fontId="29" fillId="13" borderId="9" xfId="0" applyFont="1" applyFill="1" applyBorder="1" applyAlignment="1">
      <alignment horizontal="left" vertical="top"/>
    </xf>
    <xf numFmtId="0" fontId="29" fillId="13" borderId="10" xfId="0" applyFont="1" applyFill="1" applyBorder="1" applyAlignment="1">
      <alignment horizontal="left" vertical="top"/>
    </xf>
    <xf numFmtId="0" fontId="48" fillId="16" borderId="9" xfId="0" applyFont="1" applyFill="1" applyBorder="1" applyAlignment="1">
      <alignment horizontal="left" vertical="top" wrapText="1"/>
    </xf>
    <xf numFmtId="0" fontId="48" fillId="16" borderId="10" xfId="0" applyFont="1" applyFill="1" applyBorder="1" applyAlignment="1">
      <alignment horizontal="left" vertical="top" wrapText="1"/>
    </xf>
    <xf numFmtId="0" fontId="2" fillId="0" borderId="1" xfId="0" applyFont="1" applyBorder="1" applyAlignment="1">
      <alignment horizontal="right" wrapText="1"/>
    </xf>
    <xf numFmtId="0" fontId="35" fillId="10" borderId="1" xfId="0" applyFont="1" applyFill="1" applyBorder="1" applyAlignment="1" applyProtection="1">
      <alignment vertical="top" wrapText="1"/>
      <protection locked="0"/>
    </xf>
    <xf numFmtId="0" fontId="2" fillId="17" borderId="9" xfId="0" applyFont="1" applyFill="1" applyBorder="1" applyAlignment="1">
      <alignment horizontal="left" vertical="top" wrapText="1"/>
    </xf>
    <xf numFmtId="0" fontId="2" fillId="17" borderId="10" xfId="0" applyFont="1" applyFill="1" applyBorder="1" applyAlignment="1">
      <alignment horizontal="left" vertical="top" wrapText="1"/>
    </xf>
    <xf numFmtId="0" fontId="16" fillId="0" borderId="1" xfId="0" applyFont="1" applyBorder="1"/>
    <xf numFmtId="0" fontId="2" fillId="0" borderId="2" xfId="0" applyFont="1" applyBorder="1" applyAlignment="1">
      <alignment horizontal="left" vertical="top"/>
    </xf>
    <xf numFmtId="0" fontId="20" fillId="0" borderId="2" xfId="0" applyFont="1" applyBorder="1" applyAlignment="1">
      <alignment horizontal="left" vertical="top"/>
    </xf>
    <xf numFmtId="0" fontId="0" fillId="0" borderId="1" xfId="0" applyBorder="1" applyAlignment="1">
      <alignment horizontal="left" vertical="top" wrapText="1"/>
    </xf>
    <xf numFmtId="0" fontId="20" fillId="0" borderId="1" xfId="0" applyFont="1" applyBorder="1" applyAlignment="1">
      <alignment horizontal="left" vertical="top"/>
    </xf>
    <xf numFmtId="0" fontId="29" fillId="0" borderId="1" xfId="0" applyFont="1" applyBorder="1" applyAlignment="1">
      <alignment horizontal="left" vertical="top"/>
    </xf>
    <xf numFmtId="0" fontId="22" fillId="13" borderId="18" xfId="0" applyFont="1" applyFill="1" applyBorder="1" applyAlignment="1">
      <alignment horizontal="left" vertical="top" wrapText="1"/>
    </xf>
    <xf numFmtId="0" fontId="29" fillId="13" borderId="11" xfId="0" applyFont="1" applyFill="1" applyBorder="1" applyAlignment="1">
      <alignment horizontal="left" vertical="top" wrapText="1"/>
    </xf>
    <xf numFmtId="0" fontId="29" fillId="13" borderId="2" xfId="0" applyFont="1" applyFill="1" applyBorder="1" applyAlignment="1">
      <alignment horizontal="left" vertical="top" wrapText="1"/>
    </xf>
    <xf numFmtId="0" fontId="29" fillId="13" borderId="4" xfId="0" applyFont="1" applyFill="1" applyBorder="1" applyAlignment="1">
      <alignment horizontal="left" vertical="top" wrapText="1"/>
    </xf>
    <xf numFmtId="0" fontId="29"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29" fillId="15" borderId="1" xfId="0" applyFont="1" applyFill="1" applyBorder="1" applyAlignment="1">
      <alignment horizontal="left" vertical="top" wrapText="1"/>
    </xf>
    <xf numFmtId="0" fontId="2" fillId="18" borderId="10" xfId="0" applyFont="1" applyFill="1" applyBorder="1" applyAlignment="1">
      <alignment horizontal="left" vertical="top" wrapText="1"/>
    </xf>
    <xf numFmtId="0" fontId="2" fillId="18" borderId="9" xfId="0" applyFont="1" applyFill="1" applyBorder="1" applyAlignment="1">
      <alignment horizontal="left" vertical="top" wrapText="1"/>
    </xf>
    <xf numFmtId="0" fontId="29" fillId="13" borderId="1" xfId="0" applyFont="1" applyFill="1" applyBorder="1" applyAlignment="1">
      <alignment horizontal="left" vertical="top"/>
    </xf>
    <xf numFmtId="0" fontId="51" fillId="0" borderId="1" xfId="0" applyFont="1" applyBorder="1" applyAlignment="1">
      <alignment horizontal="left" vertical="top" wrapText="1"/>
    </xf>
    <xf numFmtId="0" fontId="49" fillId="13" borderId="1" xfId="0" applyFont="1" applyFill="1" applyBorder="1" applyAlignment="1">
      <alignment horizontal="left" vertical="top" wrapText="1"/>
    </xf>
    <xf numFmtId="0" fontId="22" fillId="13" borderId="1" xfId="0" applyFont="1" applyFill="1" applyBorder="1" applyAlignment="1">
      <alignment horizontal="left" vertical="top" wrapText="1"/>
    </xf>
    <xf numFmtId="0" fontId="20" fillId="10" borderId="1" xfId="0" applyFont="1" applyFill="1" applyBorder="1" applyAlignment="1" applyProtection="1">
      <alignment vertical="top" wrapText="1"/>
      <protection locked="0"/>
    </xf>
    <xf numFmtId="0" fontId="35" fillId="10" borderId="1" xfId="0" applyFont="1" applyFill="1" applyBorder="1" applyAlignment="1">
      <alignment horizontal="left" vertical="top" wrapText="1"/>
    </xf>
    <xf numFmtId="0" fontId="2" fillId="19" borderId="2" xfId="0" applyFont="1" applyFill="1" applyBorder="1" applyAlignment="1">
      <alignment horizontal="left" vertical="top" wrapText="1"/>
    </xf>
    <xf numFmtId="14" fontId="20" fillId="0" borderId="0" xfId="0" applyNumberFormat="1" applyFont="1" applyAlignment="1">
      <alignment horizontal="left"/>
    </xf>
    <xf numFmtId="165" fontId="20" fillId="0" borderId="0" xfId="0" applyNumberFormat="1" applyFont="1" applyAlignment="1">
      <alignment horizontal="left"/>
    </xf>
    <xf numFmtId="0" fontId="0" fillId="0" borderId="0" xfId="0"/>
    <xf numFmtId="0" fontId="53" fillId="0" borderId="0" xfId="0" applyFont="1" applyAlignment="1">
      <alignment horizontal="right"/>
    </xf>
    <xf numFmtId="0" fontId="53" fillId="0" borderId="0" xfId="0" applyFont="1" applyAlignment="1">
      <alignment horizontal="center"/>
    </xf>
    <xf numFmtId="0" fontId="54" fillId="0" borderId="0" xfId="0" applyFont="1" applyAlignment="1">
      <alignment horizontal="right"/>
    </xf>
    <xf numFmtId="0" fontId="54" fillId="0" borderId="0" xfId="0" applyFont="1"/>
    <xf numFmtId="0" fontId="30" fillId="3" borderId="6" xfId="0" applyFont="1" applyFill="1" applyBorder="1" applyAlignment="1">
      <alignment horizontal="center" vertical="top" wrapText="1"/>
    </xf>
    <xf numFmtId="0" fontId="55" fillId="0" borderId="0" xfId="0" applyFont="1" applyAlignment="1">
      <alignment horizontal="right" vertical="top" wrapText="1"/>
    </xf>
    <xf numFmtId="0" fontId="55" fillId="0" borderId="0" xfId="0" applyFont="1" applyAlignment="1">
      <alignment horizontal="center" vertical="top" wrapText="1"/>
    </xf>
    <xf numFmtId="0" fontId="24" fillId="0" borderId="0" xfId="0" applyFont="1" applyAlignment="1">
      <alignment horizontal="center" vertical="center" wrapText="1"/>
    </xf>
    <xf numFmtId="0" fontId="20" fillId="9" borderId="6" xfId="0" applyFont="1" applyFill="1" applyBorder="1" applyAlignment="1">
      <alignment horizontal="center" vertical="top"/>
    </xf>
    <xf numFmtId="0" fontId="56" fillId="0" borderId="0" xfId="0" applyFont="1" applyAlignment="1">
      <alignment horizontal="right" vertical="center"/>
    </xf>
    <xf numFmtId="0" fontId="56" fillId="0" borderId="0" xfId="0" applyFont="1" applyAlignment="1">
      <alignment horizontal="center" vertical="center"/>
    </xf>
    <xf numFmtId="0" fontId="56" fillId="0" borderId="0" xfId="0" applyFont="1" applyAlignment="1">
      <alignment horizontal="right" wrapText="1"/>
    </xf>
    <xf numFmtId="0" fontId="56" fillId="0" borderId="0" xfId="0" applyFont="1" applyAlignment="1">
      <alignment wrapText="1"/>
    </xf>
    <xf numFmtId="0" fontId="20" fillId="12" borderId="6" xfId="0" applyFont="1" applyFill="1" applyBorder="1" applyAlignment="1">
      <alignment horizontal="center" vertical="top"/>
    </xf>
    <xf numFmtId="0" fontId="20" fillId="12" borderId="1" xfId="0" applyFont="1" applyFill="1" applyBorder="1" applyAlignment="1">
      <alignment horizontal="center" vertical="center"/>
    </xf>
    <xf numFmtId="0" fontId="29" fillId="12" borderId="9" xfId="0" applyFont="1" applyFill="1" applyBorder="1" applyAlignment="1">
      <alignment wrapText="1"/>
    </xf>
    <xf numFmtId="0" fontId="20" fillId="0" borderId="6" xfId="0" applyFont="1" applyBorder="1" applyAlignment="1">
      <alignment horizontal="center" vertical="top"/>
    </xf>
    <xf numFmtId="0" fontId="2" fillId="0" borderId="6" xfId="0" applyFont="1" applyBorder="1" applyAlignment="1">
      <alignment horizontal="center" vertical="top"/>
    </xf>
    <xf numFmtId="0" fontId="2" fillId="0" borderId="1" xfId="0" applyFont="1" applyBorder="1" applyAlignment="1">
      <alignment horizontal="center" vertical="center"/>
    </xf>
    <xf numFmtId="0" fontId="20" fillId="6" borderId="6" xfId="0" applyFont="1" applyFill="1" applyBorder="1" applyAlignment="1">
      <alignment horizontal="center" vertical="top"/>
    </xf>
    <xf numFmtId="0" fontId="20" fillId="12" borderId="5" xfId="0" applyFont="1" applyFill="1" applyBorder="1" applyAlignment="1">
      <alignment horizontal="center" vertical="top"/>
    </xf>
    <xf numFmtId="0" fontId="20" fillId="12" borderId="8" xfId="0" applyFont="1" applyFill="1" applyBorder="1" applyAlignment="1">
      <alignment horizontal="center" vertical="center"/>
    </xf>
    <xf numFmtId="0" fontId="20" fillId="12" borderId="0" xfId="0" applyFont="1" applyFill="1"/>
    <xf numFmtId="0" fontId="56" fillId="0" borderId="0" xfId="0" applyFont="1" applyAlignment="1">
      <alignment horizontal="right" vertical="center" wrapText="1"/>
    </xf>
    <xf numFmtId="0" fontId="56" fillId="0" borderId="0" xfId="0" applyFont="1" applyAlignment="1">
      <alignment horizontal="center" vertical="center" wrapText="1"/>
    </xf>
    <xf numFmtId="0" fontId="2" fillId="0" borderId="6" xfId="0" applyFont="1" applyBorder="1" applyAlignment="1">
      <alignment horizontal="center" vertical="top" wrapText="1"/>
    </xf>
    <xf numFmtId="0" fontId="56" fillId="0" borderId="0" xfId="0" applyFont="1" applyAlignment="1">
      <alignment horizontal="right" vertical="top"/>
    </xf>
    <xf numFmtId="0" fontId="56" fillId="0" borderId="0" xfId="0" applyFont="1" applyAlignment="1">
      <alignment horizontal="center" vertical="top"/>
    </xf>
    <xf numFmtId="0" fontId="57" fillId="0" borderId="0" xfId="0" applyFont="1"/>
    <xf numFmtId="49" fontId="2" fillId="0" borderId="6" xfId="0" applyNumberFormat="1" applyFont="1" applyBorder="1" applyAlignment="1">
      <alignment horizontal="center" vertical="top" wrapText="1"/>
    </xf>
    <xf numFmtId="0" fontId="56" fillId="0" borderId="0" xfId="0" applyFont="1" applyAlignment="1">
      <alignment horizontal="left" vertical="center" wrapText="1"/>
    </xf>
    <xf numFmtId="0" fontId="56" fillId="0" borderId="0" xfId="0" applyFont="1" applyAlignment="1">
      <alignment horizontal="right" vertical="top" wrapText="1"/>
    </xf>
    <xf numFmtId="0" fontId="56" fillId="0" borderId="0" xfId="0" applyFont="1" applyAlignment="1">
      <alignment horizontal="left" vertical="top" wrapText="1"/>
    </xf>
    <xf numFmtId="14" fontId="0" fillId="0" borderId="1" xfId="0" applyNumberFormat="1" applyFill="1" applyBorder="1" applyAlignment="1">
      <alignment vertical="top" wrapText="1"/>
    </xf>
    <xf numFmtId="0" fontId="20" fillId="0" borderId="1" xfId="0" applyFont="1" applyFill="1" applyBorder="1" applyAlignment="1">
      <alignment horizontal="center" vertical="center"/>
    </xf>
    <xf numFmtId="0" fontId="20" fillId="0" borderId="6" xfId="0" applyFont="1" applyFill="1" applyBorder="1" applyAlignment="1">
      <alignment horizontal="center" vertical="top"/>
    </xf>
    <xf numFmtId="0" fontId="20" fillId="0" borderId="1" xfId="0" applyFont="1" applyFill="1" applyBorder="1" applyAlignment="1">
      <alignment horizontal="center" vertical="top"/>
    </xf>
    <xf numFmtId="0" fontId="56" fillId="0" borderId="0" xfId="0" applyFont="1" applyFill="1" applyAlignment="1">
      <alignment horizontal="right" vertical="top"/>
    </xf>
    <xf numFmtId="0" fontId="56" fillId="0" borderId="0" xfId="0" applyFont="1" applyFill="1" applyAlignment="1">
      <alignment horizontal="center" vertical="top"/>
    </xf>
    <xf numFmtId="0" fontId="17" fillId="0" borderId="0" xfId="0" applyFont="1" applyFill="1"/>
    <xf numFmtId="0" fontId="20" fillId="0" borderId="1" xfId="0" applyFont="1" applyFill="1" applyBorder="1" applyAlignment="1">
      <alignment horizontal="center" vertical="top" wrapText="1"/>
    </xf>
    <xf numFmtId="0" fontId="2" fillId="0" borderId="6" xfId="0" applyFont="1" applyFill="1" applyBorder="1" applyAlignment="1">
      <alignment horizontal="center" vertical="top" wrapText="1"/>
    </xf>
    <xf numFmtId="0" fontId="56" fillId="0" borderId="0" xfId="0" applyFont="1" applyFill="1" applyAlignment="1">
      <alignment horizontal="right" vertical="center"/>
    </xf>
    <xf numFmtId="0" fontId="56" fillId="0" borderId="0" xfId="0" applyFont="1" applyFill="1" applyAlignment="1">
      <alignment horizontal="center" vertical="center"/>
    </xf>
    <xf numFmtId="0" fontId="20" fillId="0" borderId="1" xfId="0" applyFont="1" applyFill="1" applyBorder="1" applyAlignment="1">
      <alignment horizontal="center" vertical="center" wrapText="1"/>
    </xf>
    <xf numFmtId="0" fontId="2" fillId="0" borderId="1" xfId="0" applyFont="1" applyFill="1" applyBorder="1" applyAlignment="1">
      <alignment horizontal="left" vertical="top" wrapText="1"/>
    </xf>
    <xf numFmtId="0" fontId="22" fillId="0" borderId="20" xfId="0" applyFont="1" applyBorder="1" applyAlignment="1">
      <alignment vertical="top" wrapText="1"/>
    </xf>
    <xf numFmtId="0" fontId="2" fillId="0" borderId="1" xfId="0" applyFont="1" applyFill="1" applyBorder="1" applyAlignment="1" applyProtection="1">
      <alignment vertical="top" wrapText="1"/>
      <protection locked="0"/>
    </xf>
    <xf numFmtId="0" fontId="20" fillId="12" borderId="1" xfId="0" applyFont="1" applyFill="1" applyBorder="1" applyAlignment="1" applyProtection="1">
      <alignment vertical="top"/>
      <protection locked="0"/>
    </xf>
    <xf numFmtId="0" fontId="20" fillId="12" borderId="1" xfId="0" applyFont="1" applyFill="1" applyBorder="1" applyAlignment="1">
      <alignment horizontal="center" vertical="top" wrapText="1"/>
    </xf>
    <xf numFmtId="0" fontId="21" fillId="12" borderId="1" xfId="0" applyFont="1" applyFill="1" applyBorder="1" applyAlignment="1" applyProtection="1">
      <alignment horizontal="center" vertical="top" wrapText="1"/>
      <protection locked="0"/>
    </xf>
    <xf numFmtId="0" fontId="22" fillId="12" borderId="1" xfId="0" applyFont="1" applyFill="1" applyBorder="1" applyAlignment="1" applyProtection="1">
      <alignment vertical="top" wrapText="1"/>
      <protection locked="0"/>
    </xf>
    <xf numFmtId="49" fontId="21" fillId="12" borderId="1" xfId="0" applyNumberFormat="1" applyFont="1" applyFill="1" applyBorder="1" applyAlignment="1" applyProtection="1">
      <alignment vertical="top" wrapText="1"/>
      <protection locked="0"/>
    </xf>
    <xf numFmtId="0" fontId="20" fillId="12" borderId="1" xfId="0" applyFont="1" applyFill="1" applyBorder="1" applyAlignment="1" applyProtection="1">
      <alignment horizontal="center" vertical="top"/>
      <protection locked="0"/>
    </xf>
    <xf numFmtId="0" fontId="21" fillId="12" borderId="1" xfId="0" applyFont="1" applyFill="1" applyBorder="1" applyAlignment="1" applyProtection="1">
      <alignment horizontal="left" vertical="top" wrapText="1"/>
      <protection locked="0"/>
    </xf>
    <xf numFmtId="0" fontId="13" fillId="5" borderId="2" xfId="0" applyFont="1" applyFill="1" applyBorder="1" applyAlignment="1">
      <alignment vertical="top" wrapText="1"/>
    </xf>
    <xf numFmtId="0" fontId="0" fillId="5" borderId="2" xfId="0" applyFill="1" applyBorder="1" applyAlignment="1">
      <alignment vertical="top" wrapText="1"/>
    </xf>
    <xf numFmtId="0" fontId="16" fillId="3" borderId="8" xfId="0" applyFont="1" applyFill="1" applyBorder="1" applyAlignment="1">
      <alignment vertical="top" wrapText="1"/>
    </xf>
    <xf numFmtId="0" fontId="0" fillId="3" borderId="9" xfId="0" applyFill="1" applyBorder="1" applyAlignment="1">
      <alignment horizontal="center" vertical="top" wrapText="1"/>
    </xf>
    <xf numFmtId="0" fontId="58" fillId="3" borderId="0" xfId="6" applyFill="1" applyBorder="1" applyAlignment="1" applyProtection="1">
      <alignment wrapText="1"/>
    </xf>
    <xf numFmtId="0" fontId="60" fillId="0" borderId="1" xfId="0" applyFont="1" applyBorder="1" applyAlignment="1">
      <alignment horizontal="center" vertical="top" wrapText="1"/>
    </xf>
    <xf numFmtId="0" fontId="10" fillId="0" borderId="1" xfId="0" applyFont="1" applyBorder="1" applyAlignment="1">
      <alignment horizontal="center" vertical="top" wrapText="1"/>
    </xf>
    <xf numFmtId="0" fontId="0" fillId="0" borderId="1" xfId="0" applyBorder="1" applyAlignment="1">
      <alignment vertical="top" wrapText="1"/>
    </xf>
    <xf numFmtId="0" fontId="0" fillId="0" borderId="0" xfId="0" applyAlignment="1">
      <alignment vertical="top" wrapText="1"/>
    </xf>
    <xf numFmtId="0" fontId="62" fillId="0" borderId="0" xfId="0" applyFont="1"/>
    <xf numFmtId="0" fontId="63" fillId="0" borderId="0" xfId="0" applyFont="1"/>
    <xf numFmtId="0" fontId="64" fillId="0" borderId="1" xfId="0" applyFont="1" applyBorder="1" applyAlignment="1">
      <alignment horizontal="center" vertical="top" wrapText="1"/>
    </xf>
    <xf numFmtId="0" fontId="63" fillId="0" borderId="0" xfId="0" applyFont="1" applyAlignment="1">
      <alignment vertical="top" wrapText="1"/>
    </xf>
    <xf numFmtId="0" fontId="38" fillId="0" borderId="0" xfId="0" applyFont="1" applyAlignment="1">
      <alignment horizontal="center" vertical="top" wrapText="1"/>
    </xf>
    <xf numFmtId="0" fontId="38" fillId="0" borderId="27" xfId="0" applyFont="1" applyBorder="1" applyAlignment="1">
      <alignment horizontal="center" vertical="top" wrapText="1"/>
    </xf>
    <xf numFmtId="0" fontId="0" fillId="0" borderId="28" xfId="0" applyBorder="1"/>
    <xf numFmtId="0" fontId="0" fillId="0" borderId="0" xfId="0" applyAlignment="1">
      <alignment vertical="top"/>
    </xf>
    <xf numFmtId="0" fontId="0" fillId="20" borderId="0" xfId="0" applyFill="1"/>
    <xf numFmtId="0" fontId="38" fillId="0" borderId="0" xfId="0" applyFont="1" applyAlignment="1">
      <alignment vertical="top" wrapText="1"/>
    </xf>
    <xf numFmtId="0" fontId="64" fillId="0" borderId="0" xfId="0" applyFont="1" applyAlignment="1">
      <alignment horizontal="center" vertical="top" wrapText="1"/>
    </xf>
    <xf numFmtId="0" fontId="10" fillId="0" borderId="0" xfId="0" applyFont="1" applyAlignment="1">
      <alignment horizontal="center" vertical="top" wrapText="1"/>
    </xf>
    <xf numFmtId="0" fontId="17"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4" fillId="0" borderId="0" xfId="0" applyFont="1" applyAlignment="1">
      <alignment vertical="top"/>
    </xf>
    <xf numFmtId="0" fontId="42" fillId="0" borderId="0" xfId="0" applyFont="1" applyAlignment="1">
      <alignment vertical="top"/>
    </xf>
    <xf numFmtId="0" fontId="59" fillId="0" borderId="1" xfId="0" applyFont="1" applyFill="1" applyBorder="1" applyAlignment="1">
      <alignment vertical="top" wrapText="1"/>
    </xf>
    <xf numFmtId="0" fontId="63" fillId="0" borderId="0" xfId="0" applyFont="1" applyAlignment="1">
      <alignment vertical="top"/>
    </xf>
    <xf numFmtId="0" fontId="0" fillId="5" borderId="2" xfId="0" applyFill="1" applyBorder="1" applyAlignment="1">
      <alignment horizontal="center" vertical="top" wrapText="1"/>
    </xf>
    <xf numFmtId="0" fontId="13" fillId="5" borderId="26" xfId="0" applyFont="1" applyFill="1" applyBorder="1" applyAlignment="1">
      <alignment vertical="top" wrapText="1"/>
    </xf>
    <xf numFmtId="0" fontId="0" fillId="5" borderId="3" xfId="0" applyFill="1" applyBorder="1" applyAlignment="1">
      <alignment vertical="top" wrapText="1"/>
    </xf>
    <xf numFmtId="0" fontId="38" fillId="0" borderId="4" xfId="0" applyFont="1" applyBorder="1" applyAlignment="1">
      <alignment horizontal="center" vertical="top" wrapText="1"/>
    </xf>
    <xf numFmtId="0" fontId="0" fillId="0" borderId="0" xfId="0" applyBorder="1" applyAlignment="1">
      <alignment vertical="top" wrapText="1"/>
    </xf>
    <xf numFmtId="0" fontId="38" fillId="0" borderId="2" xfId="0" applyFont="1" applyBorder="1" applyAlignment="1">
      <alignment horizontal="center" vertical="top" wrapText="1"/>
    </xf>
    <xf numFmtId="0" fontId="59" fillId="0" borderId="9" xfId="0" applyFont="1" applyFill="1" applyBorder="1" applyAlignment="1">
      <alignment vertical="top" wrapText="1"/>
    </xf>
    <xf numFmtId="0" fontId="10" fillId="0" borderId="9" xfId="0" applyFont="1" applyBorder="1" applyAlignment="1">
      <alignment vertical="top" wrapText="1"/>
    </xf>
    <xf numFmtId="0" fontId="10" fillId="0" borderId="9" xfId="0" applyFont="1" applyBorder="1" applyAlignment="1">
      <alignment horizontal="center" vertical="top" wrapText="1"/>
    </xf>
    <xf numFmtId="0" fontId="39" fillId="0" borderId="9" xfId="0" applyFont="1" applyBorder="1" applyAlignment="1">
      <alignment horizontal="center" vertical="top" wrapText="1"/>
    </xf>
    <xf numFmtId="0" fontId="10" fillId="0" borderId="30" xfId="0" applyFont="1" applyBorder="1" applyAlignment="1">
      <alignment horizontal="center" vertical="top" wrapText="1"/>
    </xf>
    <xf numFmtId="0" fontId="64" fillId="0" borderId="9" xfId="0" applyFont="1" applyBorder="1" applyAlignment="1">
      <alignment horizontal="center" vertical="top" wrapText="1"/>
    </xf>
    <xf numFmtId="0" fontId="0" fillId="0" borderId="27" xfId="0" applyBorder="1"/>
    <xf numFmtId="0" fontId="38" fillId="0" borderId="27" xfId="0" applyFont="1" applyBorder="1" applyAlignment="1">
      <alignment vertical="top" wrapText="1"/>
    </xf>
    <xf numFmtId="0" fontId="39" fillId="0" borderId="27" xfId="0" applyFont="1" applyBorder="1" applyAlignment="1">
      <alignment horizontal="center" vertical="top" wrapText="1"/>
    </xf>
    <xf numFmtId="0" fontId="64" fillId="0" borderId="27" xfId="0" applyFont="1" applyBorder="1" applyAlignment="1">
      <alignment horizontal="center" vertical="top" wrapText="1"/>
    </xf>
    <xf numFmtId="0" fontId="0" fillId="0" borderId="9" xfId="0" applyBorder="1"/>
    <xf numFmtId="0" fontId="38" fillId="0" borderId="30" xfId="0" applyFont="1" applyBorder="1" applyAlignment="1">
      <alignment horizontal="center" vertical="top" wrapText="1"/>
    </xf>
    <xf numFmtId="0" fontId="39" fillId="0" borderId="30" xfId="0" applyFont="1" applyBorder="1" applyAlignment="1">
      <alignment horizontal="center" vertical="top" wrapText="1"/>
    </xf>
    <xf numFmtId="0" fontId="59" fillId="0" borderId="28" xfId="0" applyFont="1" applyFill="1" applyBorder="1" applyAlignment="1">
      <alignment vertical="top" wrapText="1"/>
    </xf>
    <xf numFmtId="0" fontId="38" fillId="0" borderId="28" xfId="0" applyFont="1" applyBorder="1" applyAlignment="1">
      <alignment vertical="top" wrapText="1"/>
    </xf>
    <xf numFmtId="0" fontId="39" fillId="0" borderId="28" xfId="0" applyFont="1" applyBorder="1" applyAlignment="1">
      <alignment horizontal="center" vertical="top" wrapText="1"/>
    </xf>
    <xf numFmtId="0" fontId="64" fillId="0" borderId="28" xfId="0" applyFont="1" applyBorder="1" applyAlignment="1">
      <alignment horizontal="center" vertical="top" wrapText="1"/>
    </xf>
    <xf numFmtId="0" fontId="10" fillId="0" borderId="28" xfId="0" applyFont="1" applyBorder="1" applyAlignment="1">
      <alignment horizontal="center" vertical="top" wrapText="1"/>
    </xf>
    <xf numFmtId="0" fontId="0" fillId="0" borderId="36" xfId="0" applyBorder="1"/>
    <xf numFmtId="0" fontId="38" fillId="0" borderId="36" xfId="0" applyFont="1" applyBorder="1" applyAlignment="1">
      <alignment vertical="top" wrapText="1"/>
    </xf>
    <xf numFmtId="0" fontId="39" fillId="0" borderId="36" xfId="0" applyFont="1" applyBorder="1" applyAlignment="1">
      <alignment horizontal="center" vertical="top" wrapText="1"/>
    </xf>
    <xf numFmtId="0" fontId="64" fillId="0" borderId="36" xfId="0" applyFont="1" applyBorder="1" applyAlignment="1">
      <alignment horizontal="center" vertical="top" wrapText="1"/>
    </xf>
    <xf numFmtId="0" fontId="10" fillId="0" borderId="36" xfId="0" applyFont="1" applyBorder="1" applyAlignment="1">
      <alignment horizontal="center" vertical="top" wrapText="1"/>
    </xf>
    <xf numFmtId="0" fontId="17" fillId="0" borderId="9" xfId="0" applyFont="1" applyFill="1" applyBorder="1"/>
    <xf numFmtId="0" fontId="39" fillId="0" borderId="1" xfId="0" applyFont="1" applyFill="1" applyBorder="1" applyAlignment="1">
      <alignment horizontal="center" vertical="top" wrapText="1"/>
    </xf>
    <xf numFmtId="0" fontId="39" fillId="0" borderId="28" xfId="0" applyFont="1" applyFill="1" applyBorder="1" applyAlignment="1">
      <alignment horizontal="center" vertical="top" wrapText="1"/>
    </xf>
    <xf numFmtId="0" fontId="39" fillId="0" borderId="27" xfId="0" applyFont="1" applyFill="1" applyBorder="1" applyAlignment="1">
      <alignment horizontal="center" vertical="top" wrapText="1"/>
    </xf>
    <xf numFmtId="0" fontId="39" fillId="0" borderId="9" xfId="0" applyFont="1" applyFill="1" applyBorder="1" applyAlignment="1">
      <alignment horizontal="center" vertical="top" wrapText="1"/>
    </xf>
    <xf numFmtId="0" fontId="39" fillId="0" borderId="36" xfId="0" applyFont="1" applyFill="1" applyBorder="1" applyAlignment="1">
      <alignment horizontal="center" vertical="top" wrapText="1"/>
    </xf>
    <xf numFmtId="0" fontId="66" fillId="0" borderId="1" xfId="0" applyFont="1" applyBorder="1" applyAlignment="1">
      <alignment vertical="top"/>
    </xf>
    <xf numFmtId="0" fontId="66" fillId="0" borderId="28" xfId="0" applyFont="1" applyBorder="1" applyAlignment="1">
      <alignment vertical="top"/>
    </xf>
    <xf numFmtId="0" fontId="64" fillId="0" borderId="34" xfId="0" applyFont="1" applyBorder="1" applyAlignment="1">
      <alignment horizontal="center" vertical="top" wrapText="1"/>
    </xf>
    <xf numFmtId="0" fontId="66" fillId="0" borderId="27" xfId="0" applyFont="1" applyBorder="1" applyAlignment="1">
      <alignment vertical="top"/>
    </xf>
    <xf numFmtId="0" fontId="66" fillId="0" borderId="9" xfId="0" applyFont="1" applyBorder="1" applyAlignment="1">
      <alignment vertical="top"/>
    </xf>
    <xf numFmtId="0" fontId="66" fillId="0" borderId="36" xfId="0" applyFont="1" applyBorder="1" applyAlignment="1">
      <alignment horizontal="center" vertical="top"/>
    </xf>
    <xf numFmtId="0" fontId="66" fillId="0" borderId="28" xfId="0" applyFont="1" applyBorder="1" applyAlignment="1">
      <alignment horizontal="center" vertical="top"/>
    </xf>
    <xf numFmtId="0" fontId="64" fillId="0" borderId="32" xfId="0" applyFont="1" applyBorder="1" applyAlignment="1">
      <alignment horizontal="center" vertical="top" wrapText="1"/>
    </xf>
    <xf numFmtId="0" fontId="64" fillId="0" borderId="4" xfId="0" applyFont="1" applyBorder="1" applyAlignment="1">
      <alignment horizontal="center" vertical="top" wrapText="1"/>
    </xf>
    <xf numFmtId="0" fontId="64" fillId="0" borderId="37" xfId="0" applyFont="1" applyBorder="1" applyAlignment="1">
      <alignment horizontal="center" vertical="top" wrapText="1"/>
    </xf>
    <xf numFmtId="0" fontId="64" fillId="0" borderId="30" xfId="0" applyFont="1" applyBorder="1" applyAlignment="1">
      <alignment horizontal="center" vertical="top" wrapText="1"/>
    </xf>
    <xf numFmtId="0" fontId="64" fillId="0" borderId="35" xfId="0" applyFont="1" applyBorder="1" applyAlignment="1">
      <alignment horizontal="center" vertical="top" wrapText="1"/>
    </xf>
    <xf numFmtId="0" fontId="64" fillId="0" borderId="29" xfId="0" applyFont="1" applyBorder="1" applyAlignment="1">
      <alignment horizontal="center" vertical="top" wrapText="1"/>
    </xf>
    <xf numFmtId="0" fontId="64" fillId="0" borderId="33" xfId="0" applyFont="1" applyBorder="1" applyAlignment="1">
      <alignment horizontal="center" vertical="top" wrapText="1"/>
    </xf>
    <xf numFmtId="0" fontId="64" fillId="0" borderId="31" xfId="0" applyFont="1" applyBorder="1" applyAlignment="1">
      <alignment horizontal="center" vertical="top" wrapText="1"/>
    </xf>
    <xf numFmtId="0" fontId="64" fillId="0" borderId="38" xfId="0" applyFont="1" applyBorder="1" applyAlignment="1">
      <alignment horizontal="center" vertical="top" wrapText="1"/>
    </xf>
    <xf numFmtId="0" fontId="22" fillId="0" borderId="0" xfId="0" applyFont="1" applyAlignment="1">
      <alignment horizontal="right" wrapText="1"/>
    </xf>
    <xf numFmtId="0" fontId="17" fillId="0" borderId="9" xfId="0" applyFont="1" applyFill="1" applyBorder="1" applyAlignment="1">
      <alignment vertical="top" wrapText="1"/>
    </xf>
    <xf numFmtId="0" fontId="67" fillId="0" borderId="0" xfId="0" applyFont="1" applyBorder="1" applyAlignment="1">
      <alignment horizontal="left" vertical="top" wrapText="1"/>
    </xf>
    <xf numFmtId="0" fontId="68" fillId="0" borderId="0" xfId="0" applyFont="1" applyAlignment="1">
      <alignment horizontal="center" vertical="top" wrapText="1"/>
    </xf>
    <xf numFmtId="0" fontId="68" fillId="0" borderId="0" xfId="0" applyFont="1" applyAlignment="1">
      <alignment horizontal="center" vertical="top"/>
    </xf>
    <xf numFmtId="0" fontId="22" fillId="0" borderId="0" xfId="0" applyFont="1" applyAlignment="1">
      <alignment horizontal="center" vertical="top" wrapText="1"/>
    </xf>
    <xf numFmtId="0" fontId="68" fillId="0" borderId="0" xfId="0" applyFont="1" applyFill="1" applyBorder="1" applyAlignment="1">
      <alignment horizontal="center" vertical="top"/>
    </xf>
    <xf numFmtId="0" fontId="0" fillId="0" borderId="0" xfId="0" applyFill="1"/>
    <xf numFmtId="0" fontId="20" fillId="10" borderId="1" xfId="0" applyFont="1" applyFill="1" applyBorder="1" applyAlignment="1">
      <alignment horizontal="center" vertical="center"/>
    </xf>
    <xf numFmtId="0" fontId="20" fillId="10" borderId="1" xfId="0" applyFont="1" applyFill="1" applyBorder="1" applyAlignment="1" applyProtection="1">
      <alignment horizontal="left" vertical="top" wrapText="1"/>
      <protection locked="0"/>
    </xf>
    <xf numFmtId="0" fontId="2" fillId="10" borderId="1" xfId="0" applyFont="1" applyFill="1" applyBorder="1" applyAlignment="1" applyProtection="1">
      <alignment vertical="top" wrapText="1"/>
      <protection locked="0"/>
    </xf>
    <xf numFmtId="0" fontId="64" fillId="0" borderId="39" xfId="0" applyFont="1" applyBorder="1" applyAlignment="1">
      <alignment horizontal="center" vertical="top" wrapText="1"/>
    </xf>
    <xf numFmtId="0" fontId="64" fillId="0" borderId="41" xfId="0" applyFont="1" applyBorder="1" applyAlignment="1">
      <alignment horizontal="center" vertical="top" wrapText="1"/>
    </xf>
    <xf numFmtId="0" fontId="64" fillId="0" borderId="40" xfId="0" applyFont="1" applyBorder="1" applyAlignment="1">
      <alignment horizontal="center" vertical="top" wrapText="1"/>
    </xf>
    <xf numFmtId="0" fontId="20" fillId="0" borderId="0" xfId="0" applyFont="1" applyBorder="1" applyAlignment="1" applyProtection="1">
      <alignment horizontal="center" vertical="top"/>
      <protection locked="0"/>
    </xf>
    <xf numFmtId="0" fontId="21" fillId="0" borderId="0" xfId="0" applyFont="1" applyBorder="1" applyAlignment="1" applyProtection="1">
      <alignment horizontal="left" vertical="top" wrapText="1"/>
      <protection locked="0"/>
    </xf>
    <xf numFmtId="0" fontId="20" fillId="0" borderId="0" xfId="0" applyFont="1" applyBorder="1" applyAlignment="1" applyProtection="1">
      <alignment horizontal="center" vertical="center"/>
      <protection locked="0"/>
    </xf>
    <xf numFmtId="0" fontId="20" fillId="0" borderId="0" xfId="0" applyFont="1" applyBorder="1" applyAlignment="1" applyProtection="1">
      <alignment vertical="top" wrapText="1"/>
      <protection locked="0"/>
    </xf>
    <xf numFmtId="49" fontId="2" fillId="0" borderId="0" xfId="0" applyNumberFormat="1" applyFont="1" applyBorder="1" applyAlignment="1" applyProtection="1">
      <alignment vertical="top" wrapText="1"/>
      <protection locked="0"/>
    </xf>
    <xf numFmtId="49" fontId="23" fillId="0" borderId="14" xfId="1" applyNumberFormat="1" applyFont="1" applyFill="1" applyBorder="1" applyAlignment="1" applyProtection="1">
      <alignment vertical="top" wrapText="1"/>
      <protection locked="0"/>
    </xf>
    <xf numFmtId="0" fontId="20" fillId="0" borderId="42" xfId="0" applyFont="1" applyBorder="1" applyAlignment="1" applyProtection="1">
      <alignment vertical="top" wrapText="1"/>
      <protection locked="0"/>
    </xf>
    <xf numFmtId="0" fontId="23" fillId="0" borderId="1" xfId="1" applyFont="1" applyFill="1" applyBorder="1" applyAlignment="1" applyProtection="1">
      <alignment vertical="top" wrapText="1"/>
      <protection locked="0"/>
    </xf>
    <xf numFmtId="0" fontId="0" fillId="0" borderId="43" xfId="0" applyBorder="1"/>
    <xf numFmtId="0" fontId="38" fillId="0" borderId="43" xfId="0" applyFont="1" applyBorder="1" applyAlignment="1">
      <alignment vertical="top" wrapText="1"/>
    </xf>
    <xf numFmtId="0" fontId="64" fillId="0" borderId="43" xfId="0" applyFont="1" applyBorder="1" applyAlignment="1">
      <alignment horizontal="center" vertical="top" wrapText="1"/>
    </xf>
    <xf numFmtId="0" fontId="64" fillId="0" borderId="44" xfId="0" applyFont="1" applyBorder="1" applyAlignment="1">
      <alignment horizontal="center" vertical="top" wrapText="1"/>
    </xf>
    <xf numFmtId="0" fontId="64" fillId="0" borderId="45" xfId="0" applyFont="1" applyBorder="1" applyAlignment="1">
      <alignment horizontal="center" vertical="top" wrapText="1"/>
    </xf>
    <xf numFmtId="0" fontId="10" fillId="0" borderId="43" xfId="0" applyFont="1" applyBorder="1" applyAlignment="1">
      <alignment horizontal="center" vertical="top" wrapText="1"/>
    </xf>
    <xf numFmtId="0" fontId="39" fillId="0" borderId="43" xfId="0" applyFont="1" applyFill="1" applyBorder="1" applyAlignment="1">
      <alignment horizontal="center" vertical="top" wrapText="1"/>
    </xf>
    <xf numFmtId="0" fontId="67" fillId="0" borderId="43" xfId="0" applyFont="1" applyBorder="1" applyAlignment="1">
      <alignment horizontal="center" vertical="top" wrapText="1"/>
    </xf>
    <xf numFmtId="0" fontId="64" fillId="0" borderId="36" xfId="0" applyFont="1" applyFill="1" applyBorder="1" applyAlignment="1">
      <alignment horizontal="center" vertical="top" wrapText="1"/>
    </xf>
    <xf numFmtId="0" fontId="10" fillId="0" borderId="9" xfId="0" applyFont="1" applyFill="1" applyBorder="1" applyAlignment="1">
      <alignment horizontal="center" vertical="top" wrapText="1"/>
    </xf>
    <xf numFmtId="0" fontId="64" fillId="0" borderId="28" xfId="0" applyFont="1" applyFill="1" applyBorder="1" applyAlignment="1">
      <alignment horizontal="center" vertical="top" wrapText="1"/>
    </xf>
    <xf numFmtId="0" fontId="10" fillId="0" borderId="27" xfId="0" applyFont="1" applyFill="1" applyBorder="1" applyAlignment="1">
      <alignment horizontal="center" vertical="top" wrapText="1"/>
    </xf>
    <xf numFmtId="0" fontId="64" fillId="0" borderId="9" xfId="0" quotePrefix="1" applyFont="1" applyBorder="1" applyAlignment="1">
      <alignment horizontal="center" vertical="top" wrapText="1"/>
    </xf>
    <xf numFmtId="0" fontId="38" fillId="0" borderId="1" xfId="0" quotePrefix="1" applyFont="1" applyBorder="1" applyAlignment="1">
      <alignment horizontal="center" vertical="top" wrapText="1"/>
    </xf>
    <xf numFmtId="0" fontId="38" fillId="0" borderId="27" xfId="0" quotePrefix="1" applyFont="1" applyBorder="1" applyAlignment="1">
      <alignment horizontal="center" vertical="top" wrapText="1"/>
    </xf>
    <xf numFmtId="0" fontId="17" fillId="0" borderId="0" xfId="0" applyFont="1" applyAlignment="1">
      <alignment wrapText="1"/>
    </xf>
    <xf numFmtId="0" fontId="0" fillId="0" borderId="0" xfId="0"/>
    <xf numFmtId="0" fontId="21" fillId="5" borderId="12" xfId="0" applyFont="1" applyFill="1" applyBorder="1" applyAlignment="1">
      <alignment horizontal="center"/>
    </xf>
    <xf numFmtId="0" fontId="20" fillId="5" borderId="12" xfId="0" applyFont="1" applyFill="1" applyBorder="1" applyAlignment="1">
      <alignment horizontal="center"/>
    </xf>
    <xf numFmtId="0" fontId="20" fillId="0" borderId="4" xfId="0" applyFont="1" applyBorder="1"/>
    <xf numFmtId="0" fontId="20" fillId="0" borderId="6" xfId="0" applyFont="1" applyBorder="1"/>
    <xf numFmtId="0" fontId="16" fillId="3" borderId="1" xfId="0" applyFont="1" applyFill="1" applyBorder="1" applyAlignment="1">
      <alignment horizontal="center" vertical="center"/>
    </xf>
    <xf numFmtId="0" fontId="69" fillId="3" borderId="0" xfId="0" applyFont="1" applyFill="1" applyAlignment="1">
      <alignment horizontal="center" wrapText="1"/>
    </xf>
    <xf numFmtId="0" fontId="69" fillId="3" borderId="0" xfId="0" applyFont="1" applyFill="1" applyAlignment="1">
      <alignment horizontal="center"/>
    </xf>
    <xf numFmtId="0" fontId="69" fillId="3" borderId="5" xfId="0" applyFont="1" applyFill="1" applyBorder="1" applyAlignment="1">
      <alignment horizontal="center"/>
    </xf>
  </cellXfs>
  <cellStyles count="7">
    <cellStyle name="Hyperlink" xfId="1" builtinId="8"/>
    <cellStyle name="Hyperlink 2" xfId="6" xr:uid="{63B6A0C3-3D67-42FE-947A-EEA3114E9C9F}"/>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zoomScaleNormal="100" workbookViewId="0">
      <selection activeCell="A15" sqref="A15"/>
    </sheetView>
  </sheetViews>
  <sheetFormatPr defaultRowHeight="15"/>
  <cols>
    <col min="1" max="1" width="34.140625" customWidth="1"/>
    <col min="2" max="2" width="29.85546875" customWidth="1"/>
    <col min="3" max="3" width="67.42578125" customWidth="1"/>
    <col min="4" max="4" width="44.42578125" customWidth="1"/>
    <col min="5" max="5" width="13.140625" customWidth="1"/>
    <col min="7" max="7" width="9.140625" customWidth="1"/>
  </cols>
  <sheetData>
    <row r="1" spans="1:8" ht="36" customHeight="1">
      <c r="A1" s="44" t="s">
        <v>930</v>
      </c>
      <c r="B1" s="45"/>
      <c r="C1" s="45"/>
      <c r="D1" s="45"/>
      <c r="E1" s="46"/>
      <c r="F1" s="46"/>
      <c r="G1" s="46"/>
      <c r="H1" s="47"/>
    </row>
    <row r="2" spans="1:8">
      <c r="A2" s="1" t="s">
        <v>0</v>
      </c>
      <c r="B2" s="358">
        <v>45688</v>
      </c>
      <c r="D2" s="88" t="s">
        <v>3</v>
      </c>
    </row>
    <row r="3" spans="1:8">
      <c r="A3" s="48" t="s">
        <v>1</v>
      </c>
      <c r="B3" s="49">
        <v>45721</v>
      </c>
      <c r="D3" s="3" t="s">
        <v>5</v>
      </c>
    </row>
    <row r="4" spans="1:8">
      <c r="A4" s="48"/>
      <c r="B4" s="49"/>
      <c r="C4" s="48" t="s">
        <v>2</v>
      </c>
      <c r="D4" s="3"/>
    </row>
    <row r="5" spans="1:8">
      <c r="A5" s="2" t="s">
        <v>4</v>
      </c>
      <c r="B5" s="359">
        <v>23</v>
      </c>
      <c r="D5" s="88" t="s">
        <v>8</v>
      </c>
    </row>
    <row r="6" spans="1:8">
      <c r="A6" s="2" t="s">
        <v>6</v>
      </c>
      <c r="B6" s="359">
        <v>1</v>
      </c>
      <c r="C6" t="s">
        <v>2</v>
      </c>
      <c r="D6" s="3" t="s">
        <v>9</v>
      </c>
    </row>
    <row r="7" spans="1:8">
      <c r="A7" s="54" t="s">
        <v>7</v>
      </c>
      <c r="B7" s="55" t="s">
        <v>934</v>
      </c>
      <c r="D7" s="3" t="s">
        <v>11</v>
      </c>
    </row>
    <row r="8" spans="1:8">
      <c r="A8" s="1"/>
      <c r="B8" s="1"/>
      <c r="D8" s="3" t="s">
        <v>13</v>
      </c>
    </row>
    <row r="9" spans="1:8">
      <c r="A9" s="3" t="s">
        <v>10</v>
      </c>
      <c r="B9" t="s">
        <v>935</v>
      </c>
      <c r="D9" s="3" t="s">
        <v>14</v>
      </c>
    </row>
    <row r="10" spans="1:8">
      <c r="A10" s="3" t="s">
        <v>12</v>
      </c>
      <c r="B10" s="3" t="s">
        <v>933</v>
      </c>
      <c r="C10" s="1"/>
      <c r="D10" s="3" t="s">
        <v>17</v>
      </c>
    </row>
    <row r="11" spans="1:8">
      <c r="A11" s="3"/>
      <c r="D11" s="3" t="s">
        <v>19</v>
      </c>
    </row>
    <row r="12" spans="1:8">
      <c r="A12" s="3"/>
      <c r="D12" s="3"/>
    </row>
    <row r="13" spans="1:8">
      <c r="A13" s="3"/>
      <c r="D13" s="3"/>
    </row>
    <row r="14" spans="1:8">
      <c r="A14" s="59" t="s">
        <v>15</v>
      </c>
      <c r="B14" s="59" t="s">
        <v>16</v>
      </c>
      <c r="C14" s="335" t="s">
        <v>908</v>
      </c>
    </row>
    <row r="15" spans="1:8" ht="96" customHeight="1">
      <c r="A15" s="336" t="s">
        <v>936</v>
      </c>
      <c r="B15" s="337" t="s">
        <v>20</v>
      </c>
      <c r="C15" s="338" t="s">
        <v>909</v>
      </c>
      <c r="D15" t="s">
        <v>2</v>
      </c>
    </row>
    <row r="16" spans="1:8" ht="36.75" customHeight="1">
      <c r="A16" s="336" t="s">
        <v>937</v>
      </c>
      <c r="B16" s="339" t="s">
        <v>22</v>
      </c>
      <c r="C16" s="338" t="s">
        <v>910</v>
      </c>
    </row>
    <row r="17" spans="1:4" ht="113.25" customHeight="1">
      <c r="A17" s="336" t="s">
        <v>938</v>
      </c>
      <c r="B17" s="340" t="s">
        <v>18</v>
      </c>
      <c r="C17" s="338" t="s">
        <v>912</v>
      </c>
    </row>
    <row r="18" spans="1:4" ht="22.5" customHeight="1">
      <c r="A18" s="336" t="s">
        <v>939</v>
      </c>
      <c r="B18" s="339" t="s">
        <v>21</v>
      </c>
      <c r="C18" s="338" t="s">
        <v>911</v>
      </c>
    </row>
    <row r="19" spans="1:4">
      <c r="A19" s="206"/>
      <c r="B19" s="3"/>
    </row>
    <row r="20" spans="1:4">
      <c r="A20" s="206"/>
      <c r="B20" s="3"/>
    </row>
    <row r="21" spans="1:4">
      <c r="A21" s="54" t="s">
        <v>23</v>
      </c>
      <c r="C21" s="46"/>
      <c r="D21" s="52"/>
    </row>
    <row r="22" spans="1:4">
      <c r="A22" t="s">
        <v>24</v>
      </c>
      <c r="B22" s="3" t="s">
        <v>931</v>
      </c>
      <c r="D22" s="2"/>
    </row>
    <row r="23" spans="1:4">
      <c r="A23" t="s">
        <v>25</v>
      </c>
      <c r="B23" s="3" t="s">
        <v>932</v>
      </c>
      <c r="C23" s="2"/>
    </row>
    <row r="24" spans="1:4">
      <c r="A24" t="s">
        <v>26</v>
      </c>
      <c r="B24" s="3" t="s">
        <v>109</v>
      </c>
      <c r="D24" s="2"/>
    </row>
    <row r="25" spans="1:4">
      <c r="A25" t="s">
        <v>28</v>
      </c>
      <c r="B25" s="3" t="s">
        <v>109</v>
      </c>
    </row>
    <row r="26" spans="1:4">
      <c r="A26" s="50"/>
    </row>
    <row r="27" spans="1:4">
      <c r="A27" s="59" t="s">
        <v>29</v>
      </c>
      <c r="B27" s="60" t="s">
        <v>30</v>
      </c>
    </row>
    <row r="28" spans="1:4">
      <c r="A28" s="56" t="str">
        <f>CONCATENATE(B22,".CV.",B22,"C",B24,"CV65EA.DBCDCY2K(+0)")</f>
        <v>V3.CV.V3CCCV65EA.DBCDCY2K(+0)</v>
      </c>
      <c r="B28" s="56" t="s">
        <v>31</v>
      </c>
      <c r="C28" s="57" t="s">
        <v>32</v>
      </c>
    </row>
    <row r="29" spans="1:4">
      <c r="A29" s="58" t="str">
        <f>CONCATENATE(B23,".CV.",B25,"C",B25,"CV65EA.DBCDCY2K(+0)")</f>
        <v>W1.CV.CCCCV65EA.DBCDCY2K(+0)</v>
      </c>
      <c r="B29" s="56" t="s">
        <v>31</v>
      </c>
      <c r="C29" t="s">
        <v>33</v>
      </c>
      <c r="D29" t="s">
        <v>2</v>
      </c>
    </row>
    <row r="30" spans="1:4">
      <c r="A30" s="3"/>
      <c r="B30" t="s">
        <v>2</v>
      </c>
    </row>
    <row r="31" spans="1:4">
      <c r="A31" s="3"/>
    </row>
    <row r="32" spans="1:4">
      <c r="A32" s="163" t="s">
        <v>34</v>
      </c>
    </row>
    <row r="33" spans="1:7">
      <c r="A33" s="163" t="s">
        <v>35</v>
      </c>
    </row>
    <row r="36" spans="1:7">
      <c r="A36" s="3" t="s">
        <v>36</v>
      </c>
      <c r="B36" s="3"/>
      <c r="C36" s="3"/>
      <c r="D36" s="3"/>
      <c r="E36" s="3"/>
      <c r="F36" s="3"/>
      <c r="G36" s="3"/>
    </row>
    <row r="37" spans="1:7">
      <c r="A37" s="3" t="s">
        <v>37</v>
      </c>
      <c r="B37" s="3"/>
      <c r="C37" s="3"/>
      <c r="D37" s="3"/>
      <c r="E37" s="3"/>
      <c r="F37" s="3"/>
      <c r="G37" s="3"/>
    </row>
    <row r="38" spans="1:7">
      <c r="A38" s="3" t="s">
        <v>38</v>
      </c>
      <c r="B38" s="3"/>
      <c r="C38" s="3"/>
      <c r="D38" s="3"/>
      <c r="E38" s="3"/>
      <c r="F38" s="3"/>
      <c r="G38" s="3"/>
    </row>
    <row r="39" spans="1:7">
      <c r="A39" s="3"/>
      <c r="B39" s="3"/>
      <c r="C39" s="3"/>
      <c r="D39" s="3"/>
      <c r="E39" s="3"/>
      <c r="F39" s="3"/>
      <c r="G39" s="3"/>
    </row>
    <row r="40" spans="1:7">
      <c r="A40" s="3" t="s">
        <v>39</v>
      </c>
      <c r="B40" s="3"/>
      <c r="C40" s="3"/>
      <c r="D40" s="3"/>
      <c r="E40" s="3"/>
      <c r="F40" s="3"/>
      <c r="G40" s="3"/>
    </row>
    <row r="41" spans="1:7">
      <c r="A41" s="206" t="s">
        <v>40</v>
      </c>
      <c r="B41" s="3"/>
      <c r="C41" s="206"/>
      <c r="D41" s="3"/>
      <c r="E41" s="3"/>
      <c r="F41" s="3"/>
    </row>
    <row r="42" spans="1:7">
      <c r="A42" s="206" t="s">
        <v>41</v>
      </c>
      <c r="B42" s="3"/>
      <c r="C42" s="206"/>
      <c r="D42" s="3"/>
      <c r="E42" s="3"/>
      <c r="F42" s="3"/>
    </row>
    <row r="43" spans="1:7">
      <c r="A43" s="3" t="s">
        <v>42</v>
      </c>
      <c r="B43" s="3"/>
      <c r="C43" s="206"/>
      <c r="D43" s="3"/>
      <c r="E43" s="3"/>
      <c r="F43" s="3"/>
    </row>
    <row r="45" spans="1:7">
      <c r="A45" t="s">
        <v>43</v>
      </c>
    </row>
  </sheetData>
  <pageMargins left="0.2" right="0.21" top="0.57999999999999996" bottom="0.49" header="0.3" footer="0.17"/>
  <pageSetup scale="85" orientation="landscape" r:id="rId1"/>
  <headerFooter>
    <oddHeader>&amp;L&amp;"Arial,Regular"Refinitiv&amp;C&amp;"Arial,Regular"DIST Reverse Mapping &amp;A&amp;R&amp;"Arial,Regular"New Installations - Conversions</oddHeader>
    <oddFooter>&amp;L&amp;8Confidential&amp;C&amp;8&amp;D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Normal="100" workbookViewId="0"/>
  </sheetViews>
  <sheetFormatPr defaultColWidth="8.28515625" defaultRowHeight="15"/>
  <cols>
    <col min="1" max="1" width="8.5703125" customWidth="1"/>
    <col min="2" max="2" width="9.7109375" customWidth="1"/>
    <col min="3" max="3" width="5.42578125" customWidth="1"/>
    <col min="4" max="4" width="109" customWidth="1"/>
    <col min="5" max="252" width="9.140625" customWidth="1"/>
    <col min="253" max="253" width="7.85546875" bestFit="1" customWidth="1"/>
    <col min="254" max="254" width="4.42578125" bestFit="1" customWidth="1"/>
    <col min="255" max="255" width="47.42578125" customWidth="1"/>
  </cols>
  <sheetData>
    <row r="1" spans="1:4" ht="30">
      <c r="A1" s="33" t="s">
        <v>44</v>
      </c>
      <c r="B1" s="34" t="s">
        <v>45</v>
      </c>
      <c r="C1" s="33" t="s">
        <v>46</v>
      </c>
      <c r="D1" s="33" t="s">
        <v>47</v>
      </c>
    </row>
    <row r="2" spans="1:4">
      <c r="A2" s="35"/>
      <c r="B2" s="3"/>
      <c r="C2" s="3"/>
      <c r="D2" s="3"/>
    </row>
    <row r="3" spans="1:4">
      <c r="A3" s="35"/>
      <c r="B3" s="36"/>
      <c r="C3" s="3"/>
      <c r="D3" s="36"/>
    </row>
    <row r="4" spans="1:4">
      <c r="A4" s="37"/>
      <c r="B4" s="36"/>
      <c r="D4" s="36"/>
    </row>
    <row r="5" spans="1:4">
      <c r="A5" s="35"/>
      <c r="B5" s="36"/>
      <c r="C5" s="3"/>
      <c r="D5" s="36"/>
    </row>
    <row r="6" spans="1:4">
      <c r="A6" s="35"/>
      <c r="B6" s="36"/>
      <c r="C6" s="3"/>
      <c r="D6" s="36"/>
    </row>
    <row r="7" spans="1:4">
      <c r="A7" s="37"/>
      <c r="B7" s="36"/>
      <c r="D7" s="36"/>
    </row>
    <row r="8" spans="1:4">
      <c r="A8" s="37"/>
      <c r="B8" s="36"/>
      <c r="D8" s="36"/>
    </row>
    <row r="9" spans="1:4">
      <c r="A9" s="35"/>
      <c r="B9" s="36"/>
      <c r="C9" s="3"/>
      <c r="D9" s="36"/>
    </row>
    <row r="10" spans="1:4">
      <c r="A10" s="35"/>
      <c r="B10" s="36"/>
      <c r="C10" s="3"/>
      <c r="D10" s="36"/>
    </row>
    <row r="11" spans="1:4">
      <c r="A11" s="35"/>
      <c r="B11" s="36"/>
      <c r="C11" s="3"/>
      <c r="D11" s="36"/>
    </row>
    <row r="12" spans="1:4">
      <c r="A12" s="35"/>
      <c r="B12" s="36"/>
      <c r="C12" s="3"/>
      <c r="D12" s="36"/>
    </row>
    <row r="13" spans="1:4">
      <c r="A13" s="38"/>
    </row>
  </sheetData>
  <printOptions gridLines="1"/>
  <pageMargins left="0.25" right="0.25" top="0.7" bottom="0.5" header="0.3" footer="0.17"/>
  <pageSetup orientation="landscape" r:id="rId1"/>
  <headerFooter>
    <oddHeader>&amp;L&amp;"Arial,Regular"Refinitiv&amp;C&amp;"Arial,Regular"DIST Reverse Mapping &amp;A&amp;R&amp;"Arial,Regular"New Installations-Conversions</oddHeader>
    <oddFooter>&amp;L&amp;8Confidential&amp;C&amp;8&amp;D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zoomScaleNormal="100" workbookViewId="0">
      <selection activeCell="A42" sqref="A42"/>
    </sheetView>
  </sheetViews>
  <sheetFormatPr defaultColWidth="9.140625" defaultRowHeight="15"/>
  <cols>
    <col min="1" max="1" width="27.7109375" style="68" customWidth="1"/>
    <col min="2" max="2" width="9.140625" style="68"/>
    <col min="3" max="3" width="39.85546875" style="68" customWidth="1"/>
    <col min="4" max="16384" width="9.140625" style="68"/>
  </cols>
  <sheetData>
    <row r="1" spans="1:3">
      <c r="A1" s="67"/>
    </row>
    <row r="2" spans="1:3">
      <c r="A2" s="36"/>
    </row>
    <row r="3" spans="1:3">
      <c r="A3" s="36"/>
    </row>
    <row r="4" spans="1:3">
      <c r="A4" s="67"/>
      <c r="C4" s="69"/>
    </row>
    <row r="5" spans="1:3">
      <c r="A5" s="36"/>
    </row>
    <row r="6" spans="1:3">
      <c r="A6" s="69"/>
    </row>
    <row r="7" spans="1:3">
      <c r="A7" s="69"/>
    </row>
    <row r="8" spans="1:3">
      <c r="A8" s="69"/>
    </row>
    <row r="9" spans="1:3">
      <c r="A9" s="69"/>
    </row>
    <row r="10" spans="1:3">
      <c r="A10" s="36"/>
    </row>
    <row r="11" spans="1:3">
      <c r="A11" s="67"/>
      <c r="B11" s="69"/>
    </row>
    <row r="12" spans="1:3">
      <c r="A12" s="36"/>
    </row>
    <row r="13" spans="1:3">
      <c r="A13" s="36"/>
    </row>
  </sheetData>
  <pageMargins left="0.7" right="0.7" top="0.75" bottom="0.75" header="0.3" footer="0.3"/>
  <pageSetup paperSize="21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2"/>
  <sheetViews>
    <sheetView zoomScaleNormal="100" workbookViewId="0">
      <pane ySplit="1" topLeftCell="A2" activePane="bottomLeft" state="frozen"/>
      <selection pane="bottomLeft" activeCell="B1" sqref="A1:F1"/>
    </sheetView>
  </sheetViews>
  <sheetFormatPr defaultColWidth="9.140625" defaultRowHeight="15"/>
  <cols>
    <col min="1" max="1" width="10.7109375" style="360" bestFit="1" customWidth="1"/>
    <col min="2" max="2" width="30.28515625" style="360" customWidth="1"/>
    <col min="3" max="3" width="9.140625" style="360"/>
    <col min="4" max="4" width="9.85546875" style="360" customWidth="1"/>
    <col min="5" max="5" width="9.5703125" style="360" customWidth="1"/>
    <col min="6" max="6" width="25" style="360" customWidth="1"/>
    <col min="7" max="7" width="18.140625" style="363" customWidth="1"/>
    <col min="8" max="8" width="12.28515625" style="364" customWidth="1"/>
    <col min="9" max="9" width="11.7109375" style="360" customWidth="1"/>
    <col min="10" max="16384" width="9.140625" style="360"/>
  </cols>
  <sheetData>
    <row r="1" spans="1:24" ht="32.25" customHeight="1">
      <c r="A1" s="538" t="s">
        <v>940</v>
      </c>
      <c r="B1" s="539" t="s">
        <v>1032</v>
      </c>
      <c r="C1" s="540"/>
      <c r="D1" s="540"/>
      <c r="E1" s="540"/>
      <c r="F1" s="541"/>
      <c r="G1" s="361"/>
      <c r="H1" s="362"/>
    </row>
    <row r="2" spans="1:24" ht="36">
      <c r="A2" s="177"/>
      <c r="B2" s="365" t="s">
        <v>48</v>
      </c>
      <c r="C2" s="143" t="s">
        <v>49</v>
      </c>
      <c r="D2" s="143" t="s">
        <v>50</v>
      </c>
      <c r="E2" s="143" t="s">
        <v>995</v>
      </c>
      <c r="F2" s="143" t="s">
        <v>51</v>
      </c>
      <c r="G2" s="366" t="s">
        <v>942</v>
      </c>
      <c r="H2" s="367"/>
      <c r="I2" s="368" t="s">
        <v>2</v>
      </c>
      <c r="J2" s="120" t="s">
        <v>2</v>
      </c>
      <c r="K2" s="120"/>
    </row>
    <row r="3" spans="1:24">
      <c r="A3" s="177"/>
      <c r="B3" s="369" t="s">
        <v>52</v>
      </c>
      <c r="C3" s="90" t="s">
        <v>53</v>
      </c>
      <c r="D3" s="90" t="s">
        <v>53</v>
      </c>
      <c r="E3" s="90" t="s">
        <v>54</v>
      </c>
      <c r="F3" s="90" t="s">
        <v>55</v>
      </c>
      <c r="G3" s="370">
        <v>1430</v>
      </c>
      <c r="H3" s="371"/>
      <c r="I3" s="120"/>
      <c r="J3" s="120"/>
      <c r="K3" s="120" t="s">
        <v>2</v>
      </c>
    </row>
    <row r="4" spans="1:24" ht="24.75">
      <c r="A4" s="177"/>
      <c r="B4" s="369" t="s">
        <v>56</v>
      </c>
      <c r="C4" s="90" t="s">
        <v>53</v>
      </c>
      <c r="D4" s="90" t="s">
        <v>53</v>
      </c>
      <c r="E4" s="90" t="s">
        <v>54</v>
      </c>
      <c r="F4" s="233" t="s">
        <v>57</v>
      </c>
      <c r="G4" s="372">
        <v>871</v>
      </c>
      <c r="H4" s="373"/>
      <c r="I4" s="120"/>
      <c r="J4" s="120"/>
      <c r="K4" s="120"/>
    </row>
    <row r="5" spans="1:24">
      <c r="A5" s="177"/>
      <c r="B5" s="369" t="s">
        <v>58</v>
      </c>
      <c r="C5" s="90" t="s">
        <v>53</v>
      </c>
      <c r="D5" s="90" t="s">
        <v>53</v>
      </c>
      <c r="E5" s="90" t="s">
        <v>54</v>
      </c>
      <c r="F5" s="234" t="s">
        <v>59</v>
      </c>
      <c r="G5" s="495">
        <v>1521</v>
      </c>
      <c r="H5" s="373"/>
      <c r="I5" s="120"/>
      <c r="J5" s="120"/>
      <c r="K5" s="120"/>
    </row>
    <row r="6" spans="1:24">
      <c r="A6" s="177"/>
      <c r="B6" s="369" t="s">
        <v>60</v>
      </c>
      <c r="C6" s="90" t="s">
        <v>53</v>
      </c>
      <c r="D6" s="90" t="s">
        <v>53</v>
      </c>
      <c r="E6" s="90" t="s">
        <v>54</v>
      </c>
      <c r="F6" s="234" t="s">
        <v>61</v>
      </c>
      <c r="G6" s="372">
        <v>1226</v>
      </c>
      <c r="H6" s="373"/>
      <c r="I6" s="120"/>
      <c r="J6" s="120"/>
      <c r="K6" s="120"/>
    </row>
    <row r="7" spans="1:24" ht="24.75">
      <c r="A7" s="177"/>
      <c r="B7" s="369" t="s">
        <v>62</v>
      </c>
      <c r="C7" s="90" t="s">
        <v>54</v>
      </c>
      <c r="D7" s="90" t="s">
        <v>54</v>
      </c>
      <c r="E7" s="90" t="s">
        <v>54</v>
      </c>
      <c r="F7" s="234" t="s">
        <v>63</v>
      </c>
      <c r="G7" s="372">
        <v>0</v>
      </c>
      <c r="H7" s="373"/>
      <c r="I7" s="120"/>
      <c r="J7" s="120"/>
      <c r="K7" s="120"/>
    </row>
    <row r="8" spans="1:24">
      <c r="A8" s="177"/>
      <c r="B8" s="369" t="s">
        <v>64</v>
      </c>
      <c r="C8" s="90" t="s">
        <v>54</v>
      </c>
      <c r="D8" s="90" t="s">
        <v>54</v>
      </c>
      <c r="E8" s="90" t="s">
        <v>54</v>
      </c>
      <c r="F8" s="234" t="s">
        <v>65</v>
      </c>
      <c r="G8" s="372">
        <v>13</v>
      </c>
      <c r="H8" s="373"/>
      <c r="I8" s="120"/>
      <c r="J8" s="120"/>
      <c r="K8" s="120"/>
    </row>
    <row r="9" spans="1:24">
      <c r="A9" s="177"/>
      <c r="B9" s="374" t="s">
        <v>109</v>
      </c>
      <c r="C9" s="375" t="s">
        <v>53</v>
      </c>
      <c r="D9" s="375" t="s">
        <v>53</v>
      </c>
      <c r="E9" s="375" t="s">
        <v>54</v>
      </c>
      <c r="F9" s="376" t="s">
        <v>943</v>
      </c>
      <c r="H9" s="495">
        <v>15</v>
      </c>
      <c r="I9" s="373" t="s">
        <v>994</v>
      </c>
      <c r="J9" s="120"/>
      <c r="K9" s="120"/>
    </row>
    <row r="10" spans="1:24" ht="24">
      <c r="A10" s="177"/>
      <c r="B10" s="365" t="s">
        <v>66</v>
      </c>
      <c r="C10" s="112"/>
      <c r="D10" s="112"/>
      <c r="E10" s="112"/>
      <c r="F10" s="112" t="s">
        <v>67</v>
      </c>
      <c r="G10" s="370"/>
      <c r="H10" s="371"/>
      <c r="I10" s="120" t="s">
        <v>2</v>
      </c>
      <c r="J10" s="120"/>
      <c r="K10" s="120"/>
      <c r="R10" s="120"/>
      <c r="T10" s="120"/>
      <c r="X10" s="120"/>
    </row>
    <row r="11" spans="1:24">
      <c r="A11" s="177"/>
      <c r="B11" s="377" t="s">
        <v>68</v>
      </c>
      <c r="C11" s="90" t="s">
        <v>53</v>
      </c>
      <c r="D11" s="90" t="s">
        <v>53</v>
      </c>
      <c r="E11" s="90"/>
      <c r="F11" s="90" t="s">
        <v>69</v>
      </c>
      <c r="G11" s="370">
        <v>2574</v>
      </c>
      <c r="H11" s="371"/>
      <c r="I11" s="120" t="s">
        <v>2</v>
      </c>
      <c r="J11" s="120"/>
      <c r="K11" s="120" t="s">
        <v>2</v>
      </c>
    </row>
    <row r="12" spans="1:24">
      <c r="A12" s="177"/>
      <c r="B12" s="377" t="s">
        <v>54</v>
      </c>
      <c r="C12" s="90" t="s">
        <v>53</v>
      </c>
      <c r="D12" s="90" t="s">
        <v>53</v>
      </c>
      <c r="E12" s="90"/>
      <c r="F12" s="90" t="s">
        <v>70</v>
      </c>
      <c r="G12" s="370">
        <v>85</v>
      </c>
      <c r="H12" s="371"/>
      <c r="I12" s="120" t="s">
        <v>2</v>
      </c>
      <c r="J12" s="120"/>
      <c r="K12" s="120"/>
    </row>
    <row r="13" spans="1:24" ht="24">
      <c r="A13" s="177"/>
      <c r="B13" s="365" t="s">
        <v>71</v>
      </c>
      <c r="C13" s="112"/>
      <c r="D13" s="112"/>
      <c r="E13" s="112"/>
      <c r="F13" s="112" t="s">
        <v>72</v>
      </c>
      <c r="G13" s="370"/>
      <c r="H13" s="371"/>
      <c r="I13" s="120"/>
      <c r="J13" s="120"/>
      <c r="K13" s="120"/>
      <c r="R13" s="120"/>
      <c r="T13" s="120"/>
      <c r="X13" s="120"/>
    </row>
    <row r="14" spans="1:24">
      <c r="A14" s="177"/>
      <c r="B14" s="377" t="s">
        <v>73</v>
      </c>
      <c r="C14" s="90" t="s">
        <v>53</v>
      </c>
      <c r="D14" s="90" t="s">
        <v>53</v>
      </c>
      <c r="E14" s="90"/>
      <c r="F14" s="90" t="s">
        <v>74</v>
      </c>
      <c r="G14" s="370">
        <v>2838</v>
      </c>
      <c r="H14" s="371"/>
      <c r="I14" s="120" t="s">
        <v>2</v>
      </c>
      <c r="J14" s="120"/>
      <c r="K14" s="120" t="s">
        <v>2</v>
      </c>
    </row>
    <row r="15" spans="1:24">
      <c r="A15" s="177"/>
      <c r="B15" s="377" t="s">
        <v>54</v>
      </c>
      <c r="C15" s="90" t="s">
        <v>53</v>
      </c>
      <c r="D15" s="90" t="s">
        <v>53</v>
      </c>
      <c r="E15" s="90"/>
      <c r="F15" s="90" t="s">
        <v>55</v>
      </c>
      <c r="G15" s="370">
        <v>2195</v>
      </c>
      <c r="H15" s="371"/>
      <c r="I15" s="120" t="s">
        <v>2</v>
      </c>
      <c r="J15" s="120"/>
      <c r="K15" s="120"/>
    </row>
    <row r="16" spans="1:24">
      <c r="A16" s="177"/>
      <c r="B16" s="378" t="s">
        <v>52</v>
      </c>
      <c r="C16" s="379" t="s">
        <v>53</v>
      </c>
      <c r="D16" s="379" t="s">
        <v>53</v>
      </c>
      <c r="E16" s="379"/>
      <c r="F16" s="379" t="s">
        <v>899</v>
      </c>
      <c r="G16" s="370">
        <v>40</v>
      </c>
      <c r="J16" s="120"/>
      <c r="K16" s="120" t="s">
        <v>2</v>
      </c>
      <c r="L16" s="120"/>
      <c r="M16" s="120"/>
      <c r="N16" s="120"/>
    </row>
    <row r="17" spans="1:11">
      <c r="A17" s="177"/>
      <c r="B17" s="380" t="s">
        <v>60</v>
      </c>
      <c r="C17" s="193" t="s">
        <v>54</v>
      </c>
      <c r="D17" s="193" t="s">
        <v>54</v>
      </c>
      <c r="E17" s="193"/>
      <c r="F17" s="193" t="s">
        <v>75</v>
      </c>
      <c r="G17" s="370"/>
      <c r="H17" s="495">
        <v>1</v>
      </c>
      <c r="I17" s="373" t="s">
        <v>994</v>
      </c>
      <c r="J17" s="120" t="s">
        <v>2</v>
      </c>
      <c r="K17" s="120"/>
    </row>
    <row r="18" spans="1:11">
      <c r="A18" s="177"/>
      <c r="B18" s="381" t="s">
        <v>76</v>
      </c>
      <c r="C18" s="382" t="s">
        <v>54</v>
      </c>
      <c r="D18" s="382" t="s">
        <v>54</v>
      </c>
      <c r="E18" s="383"/>
      <c r="F18" s="382" t="s">
        <v>77</v>
      </c>
      <c r="G18" s="370"/>
      <c r="H18" s="495">
        <v>2</v>
      </c>
      <c r="I18" s="373" t="s">
        <v>994</v>
      </c>
      <c r="J18" s="120"/>
      <c r="K18" s="120" t="s">
        <v>2</v>
      </c>
    </row>
    <row r="19" spans="1:11" ht="24">
      <c r="A19" s="177"/>
      <c r="B19" s="365" t="s">
        <v>78</v>
      </c>
      <c r="C19" s="112"/>
      <c r="D19" s="112"/>
      <c r="E19" s="112"/>
      <c r="F19" s="191" t="s">
        <v>79</v>
      </c>
      <c r="G19" s="384"/>
      <c r="H19" s="385"/>
      <c r="I19" s="120"/>
      <c r="J19" s="120"/>
      <c r="K19" s="120"/>
    </row>
    <row r="20" spans="1:11">
      <c r="A20" s="177"/>
      <c r="B20" s="386" t="s">
        <v>62</v>
      </c>
      <c r="C20" s="90" t="s">
        <v>54</v>
      </c>
      <c r="D20" s="90" t="s">
        <v>53</v>
      </c>
      <c r="E20" s="90"/>
      <c r="F20" s="192" t="s">
        <v>80</v>
      </c>
      <c r="G20" s="384">
        <v>71</v>
      </c>
      <c r="H20" s="385"/>
      <c r="I20" s="120"/>
      <c r="J20" s="120"/>
      <c r="K20" s="120"/>
    </row>
    <row r="21" spans="1:11" ht="41.25" customHeight="1">
      <c r="A21" s="394"/>
      <c r="B21" s="386" t="s">
        <v>81</v>
      </c>
      <c r="C21" s="90" t="s">
        <v>53</v>
      </c>
      <c r="D21" s="395" t="s">
        <v>951</v>
      </c>
      <c r="E21" s="90"/>
      <c r="F21" s="192" t="s">
        <v>82</v>
      </c>
      <c r="G21" s="384">
        <v>3766</v>
      </c>
      <c r="H21" s="385"/>
      <c r="I21" s="120"/>
      <c r="J21" s="120"/>
      <c r="K21" s="120"/>
    </row>
    <row r="22" spans="1:11">
      <c r="A22" s="177"/>
      <c r="B22" s="386" t="s">
        <v>83</v>
      </c>
      <c r="C22" s="90" t="s">
        <v>53</v>
      </c>
      <c r="D22" s="90" t="s">
        <v>54</v>
      </c>
      <c r="E22" s="90"/>
      <c r="F22" s="192" t="s">
        <v>84</v>
      </c>
      <c r="G22" s="384">
        <v>260</v>
      </c>
      <c r="H22" s="385"/>
      <c r="I22" s="120"/>
      <c r="J22" s="120"/>
      <c r="K22" s="120"/>
    </row>
    <row r="23" spans="1:11">
      <c r="A23" s="177"/>
      <c r="B23" s="386" t="s">
        <v>85</v>
      </c>
      <c r="C23" s="90" t="s">
        <v>53</v>
      </c>
      <c r="D23" s="90" t="s">
        <v>54</v>
      </c>
      <c r="E23" s="90"/>
      <c r="F23" s="192" t="s">
        <v>86</v>
      </c>
      <c r="G23" s="384">
        <v>972</v>
      </c>
      <c r="H23" s="385"/>
      <c r="I23" s="120"/>
      <c r="J23" s="120"/>
      <c r="K23" s="120"/>
    </row>
    <row r="24" spans="1:11">
      <c r="A24" s="177"/>
      <c r="B24" s="378" t="s">
        <v>68</v>
      </c>
      <c r="C24" s="90" t="s">
        <v>54</v>
      </c>
      <c r="D24" s="90" t="s">
        <v>54</v>
      </c>
      <c r="E24" s="90"/>
      <c r="F24" s="90" t="s">
        <v>87</v>
      </c>
      <c r="G24" s="370">
        <v>7</v>
      </c>
      <c r="H24" s="371"/>
      <c r="I24" s="120"/>
      <c r="J24" s="120"/>
      <c r="K24" s="120"/>
    </row>
    <row r="25" spans="1:11" ht="24">
      <c r="A25" s="177"/>
      <c r="B25" s="365" t="s">
        <v>88</v>
      </c>
      <c r="C25" s="112"/>
      <c r="D25" s="112"/>
      <c r="E25" s="112"/>
      <c r="F25" s="191" t="s">
        <v>89</v>
      </c>
      <c r="G25" s="384"/>
      <c r="H25" s="385"/>
      <c r="I25" s="120"/>
      <c r="J25" s="120"/>
      <c r="K25" s="120"/>
    </row>
    <row r="26" spans="1:11">
      <c r="A26" s="177"/>
      <c r="B26" s="377" t="s">
        <v>90</v>
      </c>
      <c r="C26" s="132" t="s">
        <v>53</v>
      </c>
      <c r="D26" s="132" t="s">
        <v>53</v>
      </c>
      <c r="E26" s="132"/>
      <c r="F26" s="132" t="s">
        <v>91</v>
      </c>
      <c r="G26" s="387">
        <v>33</v>
      </c>
      <c r="H26" s="388"/>
      <c r="I26" s="120" t="s">
        <v>941</v>
      </c>
      <c r="J26" s="120"/>
      <c r="K26" s="120"/>
    </row>
    <row r="27" spans="1:11">
      <c r="A27" s="177"/>
      <c r="B27" s="377" t="s">
        <v>92</v>
      </c>
      <c r="C27" s="132" t="s">
        <v>53</v>
      </c>
      <c r="D27" s="132" t="s">
        <v>53</v>
      </c>
      <c r="E27" s="132"/>
      <c r="F27" s="132" t="s">
        <v>93</v>
      </c>
      <c r="G27" s="387">
        <v>2</v>
      </c>
      <c r="H27" s="388"/>
      <c r="I27" s="120"/>
      <c r="J27" s="120"/>
      <c r="K27" s="120"/>
    </row>
    <row r="28" spans="1:11">
      <c r="A28" s="177"/>
      <c r="B28" s="377" t="s">
        <v>94</v>
      </c>
      <c r="C28" s="132" t="s">
        <v>53</v>
      </c>
      <c r="D28" s="132" t="s">
        <v>53</v>
      </c>
      <c r="E28" s="132"/>
      <c r="F28" s="132" t="s">
        <v>95</v>
      </c>
      <c r="G28" s="387">
        <v>278</v>
      </c>
      <c r="H28" s="388"/>
      <c r="I28" s="120"/>
      <c r="J28" s="120"/>
      <c r="K28" s="120"/>
    </row>
    <row r="29" spans="1:11">
      <c r="A29" s="177"/>
      <c r="B29" s="396" t="s">
        <v>610</v>
      </c>
      <c r="C29" s="397" t="s">
        <v>53</v>
      </c>
      <c r="D29" s="397" t="s">
        <v>53</v>
      </c>
      <c r="E29" s="397"/>
      <c r="F29" s="397" t="s">
        <v>944</v>
      </c>
      <c r="G29" s="398">
        <v>15</v>
      </c>
      <c r="H29" s="399" t="s">
        <v>2</v>
      </c>
      <c r="I29" s="400"/>
      <c r="J29" s="120"/>
      <c r="K29" s="120" t="s">
        <v>2</v>
      </c>
    </row>
    <row r="30" spans="1:11">
      <c r="A30" s="177"/>
      <c r="B30" s="377" t="s">
        <v>96</v>
      </c>
      <c r="C30" s="132" t="s">
        <v>53</v>
      </c>
      <c r="D30" s="132" t="s">
        <v>53</v>
      </c>
      <c r="E30" s="132"/>
      <c r="F30" s="132" t="s">
        <v>97</v>
      </c>
      <c r="G30" s="387">
        <v>2</v>
      </c>
      <c r="H30" s="388"/>
      <c r="I30" s="120"/>
      <c r="J30" s="120"/>
      <c r="K30" s="120"/>
    </row>
    <row r="31" spans="1:11">
      <c r="A31" s="177"/>
      <c r="B31" s="377" t="s">
        <v>98</v>
      </c>
      <c r="C31" s="132" t="s">
        <v>53</v>
      </c>
      <c r="D31" s="132" t="s">
        <v>53</v>
      </c>
      <c r="E31" s="132"/>
      <c r="F31" s="132" t="s">
        <v>99</v>
      </c>
      <c r="G31" s="387">
        <v>441</v>
      </c>
      <c r="H31" s="388"/>
      <c r="I31" s="120"/>
      <c r="J31" s="120"/>
      <c r="K31" s="120"/>
    </row>
    <row r="32" spans="1:11">
      <c r="A32" s="177"/>
      <c r="B32" s="377" t="s">
        <v>100</v>
      </c>
      <c r="C32" s="132" t="s">
        <v>53</v>
      </c>
      <c r="D32" s="132" t="s">
        <v>53</v>
      </c>
      <c r="E32" s="132"/>
      <c r="F32" s="132" t="s">
        <v>101</v>
      </c>
      <c r="G32" s="387">
        <v>2416</v>
      </c>
      <c r="H32" s="388"/>
      <c r="I32" s="120"/>
      <c r="J32" s="120"/>
      <c r="K32" s="120"/>
    </row>
    <row r="33" spans="1:14">
      <c r="A33" s="177"/>
      <c r="B33" s="377" t="s">
        <v>102</v>
      </c>
      <c r="C33" s="132" t="s">
        <v>53</v>
      </c>
      <c r="D33" s="132" t="s">
        <v>53</v>
      </c>
      <c r="E33" s="132"/>
      <c r="F33" s="132" t="s">
        <v>103</v>
      </c>
      <c r="G33" s="387">
        <v>20</v>
      </c>
      <c r="H33" s="388"/>
      <c r="I33" s="120"/>
      <c r="J33" s="120"/>
      <c r="K33" s="120"/>
    </row>
    <row r="34" spans="1:14">
      <c r="A34" s="177"/>
      <c r="B34" s="377" t="s">
        <v>104</v>
      </c>
      <c r="C34" s="132" t="s">
        <v>53</v>
      </c>
      <c r="D34" s="132" t="s">
        <v>53</v>
      </c>
      <c r="E34" s="132"/>
      <c r="F34" s="132" t="s">
        <v>105</v>
      </c>
      <c r="G34" s="387">
        <v>1862</v>
      </c>
      <c r="H34" s="388"/>
      <c r="I34" s="120"/>
      <c r="J34" s="120"/>
      <c r="K34" s="120"/>
    </row>
    <row r="35" spans="1:14" ht="15" customHeight="1">
      <c r="A35" s="177"/>
      <c r="B35" s="396" t="s">
        <v>945</v>
      </c>
      <c r="C35" s="397" t="s">
        <v>54</v>
      </c>
      <c r="D35" s="397" t="s">
        <v>54</v>
      </c>
      <c r="E35" s="397"/>
      <c r="F35" s="401" t="s">
        <v>946</v>
      </c>
      <c r="G35" s="398">
        <v>7</v>
      </c>
      <c r="H35" s="399"/>
      <c r="I35" s="400"/>
      <c r="J35" s="120"/>
      <c r="K35" s="120"/>
    </row>
    <row r="36" spans="1:14" ht="24">
      <c r="A36" s="177"/>
      <c r="B36" s="365" t="s">
        <v>106</v>
      </c>
      <c r="C36" s="112"/>
      <c r="D36" s="112"/>
      <c r="E36" s="112"/>
      <c r="F36" s="191" t="s">
        <v>107</v>
      </c>
      <c r="G36" s="384"/>
      <c r="H36" s="385"/>
      <c r="I36" s="120"/>
      <c r="J36" s="120"/>
      <c r="K36" s="120"/>
    </row>
    <row r="37" spans="1:14">
      <c r="A37" s="177"/>
      <c r="B37" s="386" t="s">
        <v>68</v>
      </c>
      <c r="C37" s="90" t="s">
        <v>53</v>
      </c>
      <c r="D37" s="90" t="s">
        <v>53</v>
      </c>
      <c r="E37" s="90"/>
      <c r="F37" s="90" t="s">
        <v>108</v>
      </c>
      <c r="G37" s="370"/>
      <c r="H37" s="371"/>
      <c r="I37" s="389"/>
      <c r="J37" s="389"/>
      <c r="K37" s="389"/>
      <c r="L37" s="389"/>
    </row>
    <row r="38" spans="1:14">
      <c r="A38" s="177"/>
      <c r="B38" s="386" t="s">
        <v>109</v>
      </c>
      <c r="C38" s="90" t="s">
        <v>53</v>
      </c>
      <c r="D38" s="90" t="s">
        <v>53</v>
      </c>
      <c r="E38" s="90"/>
      <c r="F38" s="90" t="s">
        <v>110</v>
      </c>
      <c r="G38" s="370"/>
      <c r="H38" s="371"/>
      <c r="I38" s="389"/>
      <c r="J38" s="389"/>
      <c r="K38" s="389"/>
      <c r="L38" s="389"/>
    </row>
    <row r="39" spans="1:14">
      <c r="A39" s="177"/>
      <c r="B39" s="386" t="s">
        <v>62</v>
      </c>
      <c r="C39" s="90" t="s">
        <v>53</v>
      </c>
      <c r="D39" s="90" t="s">
        <v>53</v>
      </c>
      <c r="E39" s="90"/>
      <c r="F39" s="90" t="s">
        <v>111</v>
      </c>
      <c r="G39" s="370"/>
      <c r="H39" s="371"/>
      <c r="I39" s="120"/>
      <c r="J39" s="120"/>
      <c r="K39" s="120"/>
    </row>
    <row r="40" spans="1:14">
      <c r="A40" s="177"/>
      <c r="B40" s="402" t="s">
        <v>56</v>
      </c>
      <c r="C40" s="395" t="s">
        <v>53</v>
      </c>
      <c r="D40" s="395" t="s">
        <v>53</v>
      </c>
      <c r="E40" s="395"/>
      <c r="F40" s="395" t="s">
        <v>112</v>
      </c>
      <c r="G40" s="403"/>
      <c r="H40" s="404"/>
      <c r="I40" s="400"/>
      <c r="J40" s="120"/>
      <c r="K40" s="120"/>
    </row>
    <row r="41" spans="1:14">
      <c r="A41" s="177"/>
      <c r="B41" s="402" t="s">
        <v>83</v>
      </c>
      <c r="C41" s="503" t="s">
        <v>54</v>
      </c>
      <c r="D41" s="503" t="s">
        <v>54</v>
      </c>
      <c r="E41" s="395"/>
      <c r="F41" s="503" t="s">
        <v>997</v>
      </c>
      <c r="G41" s="403"/>
      <c r="H41" s="404"/>
      <c r="I41" s="400"/>
      <c r="J41" s="120"/>
      <c r="K41" s="120"/>
    </row>
    <row r="42" spans="1:14">
      <c r="A42" s="177"/>
      <c r="B42" s="386" t="s">
        <v>85</v>
      </c>
      <c r="C42" s="90" t="s">
        <v>53</v>
      </c>
      <c r="D42" s="90" t="s">
        <v>53</v>
      </c>
      <c r="E42" s="90"/>
      <c r="F42" s="90" t="s">
        <v>900</v>
      </c>
      <c r="G42" s="370"/>
      <c r="H42" s="371"/>
      <c r="I42" s="120"/>
      <c r="J42" s="120"/>
      <c r="K42" s="120" t="s">
        <v>2</v>
      </c>
      <c r="L42" s="120"/>
      <c r="M42" s="120"/>
      <c r="N42" s="120"/>
    </row>
    <row r="43" spans="1:14" ht="17.25" customHeight="1">
      <c r="A43" s="177"/>
      <c r="B43" s="402" t="s">
        <v>64</v>
      </c>
      <c r="C43" s="395" t="s">
        <v>53</v>
      </c>
      <c r="D43" s="395" t="s">
        <v>53</v>
      </c>
      <c r="E43" s="395" t="s">
        <v>2</v>
      </c>
      <c r="F43" s="405" t="s">
        <v>947</v>
      </c>
      <c r="G43" s="403"/>
      <c r="H43" s="404"/>
      <c r="I43" s="400"/>
      <c r="J43" s="120"/>
      <c r="K43" s="120" t="s">
        <v>2</v>
      </c>
    </row>
    <row r="44" spans="1:14">
      <c r="A44" s="177"/>
      <c r="B44" s="402" t="s">
        <v>73</v>
      </c>
      <c r="C44" s="503" t="s">
        <v>53</v>
      </c>
      <c r="D44" s="503" t="s">
        <v>53</v>
      </c>
      <c r="E44" s="395"/>
      <c r="F44" s="395" t="s">
        <v>948</v>
      </c>
      <c r="G44" s="370"/>
      <c r="H44" s="371">
        <v>0</v>
      </c>
      <c r="I44" s="120"/>
      <c r="J44" s="120"/>
      <c r="K44" s="120"/>
    </row>
    <row r="45" spans="1:14" ht="24">
      <c r="A45" s="177"/>
      <c r="B45" s="365" t="s">
        <v>113</v>
      </c>
      <c r="C45" s="112"/>
      <c r="D45" s="112"/>
      <c r="E45" s="112"/>
      <c r="F45" s="112" t="s">
        <v>114</v>
      </c>
      <c r="G45" s="370"/>
      <c r="H45" s="371"/>
      <c r="I45" s="120"/>
      <c r="J45" s="120"/>
      <c r="K45" s="120"/>
    </row>
    <row r="46" spans="1:14">
      <c r="A46" s="177"/>
      <c r="B46" s="390" t="s">
        <v>115</v>
      </c>
      <c r="C46" s="90" t="s">
        <v>53</v>
      </c>
      <c r="D46" s="90" t="s">
        <v>53</v>
      </c>
      <c r="E46" s="90"/>
      <c r="F46" s="90"/>
      <c r="G46" s="370"/>
      <c r="H46" s="371"/>
      <c r="I46" s="120"/>
      <c r="J46" s="120"/>
      <c r="K46" s="120"/>
    </row>
    <row r="47" spans="1:14" ht="60" customHeight="1">
      <c r="A47" s="177"/>
      <c r="B47" s="365" t="s">
        <v>116</v>
      </c>
      <c r="C47" s="112"/>
      <c r="D47" s="112"/>
      <c r="E47" s="112"/>
      <c r="F47" s="147" t="s">
        <v>949</v>
      </c>
      <c r="G47" s="384"/>
      <c r="H47" s="391"/>
      <c r="I47" s="120"/>
      <c r="J47" s="120"/>
      <c r="K47" s="120"/>
    </row>
    <row r="48" spans="1:14" ht="36">
      <c r="A48" s="177"/>
      <c r="B48" s="223" t="s">
        <v>950</v>
      </c>
      <c r="C48" s="132"/>
      <c r="D48" s="132"/>
      <c r="E48" s="132"/>
      <c r="F48" s="125"/>
      <c r="G48" s="392"/>
      <c r="H48" s="393"/>
      <c r="I48" s="120"/>
      <c r="J48" s="120"/>
      <c r="K48" s="120"/>
    </row>
    <row r="49" spans="2:7">
      <c r="G49" s="363">
        <f>SUM(G3:G48)</f>
        <v>22945</v>
      </c>
    </row>
    <row r="50" spans="2:7" ht="17.25" customHeight="1">
      <c r="B50" s="532"/>
      <c r="C50" s="533"/>
      <c r="D50" s="533"/>
      <c r="E50" s="533"/>
      <c r="F50" s="533"/>
    </row>
    <row r="52" spans="2:7">
      <c r="B52" s="120" t="s">
        <v>117</v>
      </c>
    </row>
  </sheetData>
  <mergeCells count="2">
    <mergeCell ref="B1:F1"/>
    <mergeCell ref="B50:F50"/>
  </mergeCells>
  <pageMargins left="0.7" right="0.7" top="0.75" bottom="0.75" header="0.3" footer="0.3"/>
  <pageSetup paperSize="216" scale="87" orientation="portrait" r:id="rId1"/>
  <headerFooter>
    <oddHeader>&amp;LRefinitiv&amp;CDIST Reverse Mapping &amp;A&amp;RNew Installations - Conversions</oddHeader>
    <oddFooter>&amp;LConfidential&amp;C&amp;D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211"/>
  <sheetViews>
    <sheetView zoomScaleNormal="100" workbookViewId="0">
      <pane ySplit="1" topLeftCell="A2" activePane="bottomLeft" state="frozen"/>
      <selection pane="bottomLeft" activeCell="K1" sqref="K1:L1048576"/>
    </sheetView>
  </sheetViews>
  <sheetFormatPr defaultColWidth="9.140625" defaultRowHeight="12"/>
  <cols>
    <col min="1" max="1" width="3.85546875" style="3" customWidth="1"/>
    <col min="2" max="2" width="8" style="7" customWidth="1"/>
    <col min="3" max="3" width="7.7109375" style="7" customWidth="1"/>
    <col min="4" max="4" width="5.42578125" style="41" customWidth="1"/>
    <col min="5" max="5" width="9.42578125" style="41" customWidth="1"/>
    <col min="6" max="6" width="11.85546875" style="42" customWidth="1"/>
    <col min="7" max="7" width="27.42578125" style="7" customWidth="1"/>
    <col min="8" max="8" width="32.7109375" style="43" customWidth="1"/>
    <col min="9" max="10" width="23.7109375" style="6" customWidth="1"/>
    <col min="11" max="11" width="34.5703125" style="6" customWidth="1"/>
    <col min="12" max="12" width="34.5703125" style="10" customWidth="1"/>
    <col min="13" max="14" width="5.85546875" style="41" customWidth="1"/>
    <col min="15" max="15" width="3.42578125" style="10" customWidth="1"/>
    <col min="16" max="16" width="9.28515625" style="41" customWidth="1"/>
    <col min="17" max="18" width="20.7109375" style="18" customWidth="1"/>
    <col min="19" max="19" width="26.28515625" style="93" customWidth="1"/>
    <col min="20" max="20" width="28.85546875" style="93" customWidth="1"/>
    <col min="21" max="24" width="34.5703125" style="6" customWidth="1"/>
    <col min="25" max="25" width="34.5703125" style="7" customWidth="1"/>
    <col min="26" max="26" width="43.140625" style="83" customWidth="1"/>
    <col min="27" max="27" width="9.140625" style="83"/>
    <col min="28" max="16384" width="9.140625" style="3"/>
  </cols>
  <sheetData>
    <row r="1" spans="1:26" s="64" customFormat="1" ht="36">
      <c r="A1" s="61"/>
      <c r="B1" s="53" t="s">
        <v>118</v>
      </c>
      <c r="C1" s="53" t="s">
        <v>120</v>
      </c>
      <c r="D1" s="62" t="s">
        <v>121</v>
      </c>
      <c r="E1" s="53" t="s">
        <v>122</v>
      </c>
      <c r="F1" s="62" t="s">
        <v>123</v>
      </c>
      <c r="G1" s="53" t="s">
        <v>124</v>
      </c>
      <c r="H1" s="53" t="s">
        <v>125</v>
      </c>
      <c r="I1" s="65" t="s">
        <v>126</v>
      </c>
      <c r="J1" s="53" t="s">
        <v>127</v>
      </c>
      <c r="K1" s="63" t="s">
        <v>128</v>
      </c>
      <c r="L1" s="63" t="s">
        <v>129</v>
      </c>
      <c r="M1" s="53" t="s">
        <v>130</v>
      </c>
      <c r="N1" s="53" t="s">
        <v>131</v>
      </c>
      <c r="O1" s="63" t="s">
        <v>85</v>
      </c>
      <c r="P1" s="53" t="s">
        <v>132</v>
      </c>
      <c r="Q1" s="122" t="s">
        <v>133</v>
      </c>
      <c r="R1" s="122" t="s">
        <v>134</v>
      </c>
      <c r="S1" s="213" t="s">
        <v>929</v>
      </c>
      <c r="T1" s="213" t="s">
        <v>928</v>
      </c>
      <c r="U1" s="65" t="s">
        <v>135</v>
      </c>
      <c r="V1" s="65" t="s">
        <v>136</v>
      </c>
      <c r="W1" s="65" t="s">
        <v>137</v>
      </c>
      <c r="X1" s="65" t="s">
        <v>138</v>
      </c>
      <c r="Y1" s="65" t="s">
        <v>139</v>
      </c>
      <c r="Z1" s="65" t="s">
        <v>140</v>
      </c>
    </row>
    <row r="2" spans="1:26" s="142" customFormat="1">
      <c r="A2" s="164">
        <v>1</v>
      </c>
      <c r="B2" s="138" t="s">
        <v>2</v>
      </c>
      <c r="C2" s="138"/>
      <c r="D2" s="137">
        <v>1</v>
      </c>
      <c r="E2" s="133" t="s">
        <v>141</v>
      </c>
      <c r="F2" s="139"/>
      <c r="G2" s="135" t="s">
        <v>142</v>
      </c>
      <c r="H2" s="135" t="s">
        <v>143</v>
      </c>
      <c r="I2" s="140"/>
      <c r="J2" s="135"/>
      <c r="K2" s="136" t="s">
        <v>144</v>
      </c>
      <c r="L2" s="136" t="s">
        <v>144</v>
      </c>
      <c r="M2" s="135"/>
      <c r="N2" s="134">
        <v>0</v>
      </c>
      <c r="O2" s="136"/>
      <c r="P2" s="135"/>
      <c r="Q2" s="141"/>
      <c r="R2" s="141"/>
      <c r="S2" s="136" t="s">
        <v>144</v>
      </c>
      <c r="T2" s="136" t="s">
        <v>144</v>
      </c>
      <c r="U2" s="136" t="s">
        <v>144</v>
      </c>
      <c r="V2" s="135"/>
      <c r="W2" s="135"/>
      <c r="X2" s="136" t="s">
        <v>144</v>
      </c>
      <c r="Y2" s="135"/>
    </row>
    <row r="3" spans="1:26" s="142" customFormat="1">
      <c r="A3" s="164">
        <v>2</v>
      </c>
      <c r="B3" s="138"/>
      <c r="C3" s="138"/>
      <c r="D3" s="137">
        <v>51</v>
      </c>
      <c r="E3" s="134" t="s">
        <v>145</v>
      </c>
      <c r="F3" s="139"/>
      <c r="G3" s="135" t="s">
        <v>146</v>
      </c>
      <c r="H3" s="135" t="s">
        <v>143</v>
      </c>
      <c r="I3" s="140"/>
      <c r="J3" s="218"/>
      <c r="K3" s="136" t="s">
        <v>144</v>
      </c>
      <c r="L3" s="136" t="s">
        <v>144</v>
      </c>
      <c r="M3" s="135"/>
      <c r="N3" s="134">
        <v>0</v>
      </c>
      <c r="O3" s="136"/>
      <c r="P3" s="135"/>
      <c r="Q3" s="141"/>
      <c r="R3" s="141"/>
      <c r="S3" s="136" t="s">
        <v>144</v>
      </c>
      <c r="T3" s="136" t="s">
        <v>144</v>
      </c>
      <c r="U3" s="136" t="s">
        <v>144</v>
      </c>
      <c r="V3" s="135"/>
      <c r="W3" s="135"/>
      <c r="X3" s="136" t="s">
        <v>144</v>
      </c>
      <c r="Y3" s="135"/>
    </row>
    <row r="4" spans="1:26" s="142" customFormat="1">
      <c r="A4" s="164">
        <v>3</v>
      </c>
      <c r="B4" s="138"/>
      <c r="C4" s="138"/>
      <c r="D4" s="137">
        <v>101</v>
      </c>
      <c r="E4" s="134" t="s">
        <v>145</v>
      </c>
      <c r="F4" s="139"/>
      <c r="G4" s="135" t="s">
        <v>147</v>
      </c>
      <c r="H4" s="135" t="s">
        <v>143</v>
      </c>
      <c r="I4" s="140"/>
      <c r="J4" s="218"/>
      <c r="K4" s="136" t="s">
        <v>148</v>
      </c>
      <c r="L4" s="136" t="s">
        <v>148</v>
      </c>
      <c r="M4" s="135"/>
      <c r="N4" s="134">
        <v>0</v>
      </c>
      <c r="O4" s="136"/>
      <c r="P4" s="135"/>
      <c r="Q4" s="141"/>
      <c r="R4" s="141"/>
      <c r="S4" s="136" t="s">
        <v>148</v>
      </c>
      <c r="T4" s="136" t="s">
        <v>148</v>
      </c>
      <c r="U4" s="136" t="s">
        <v>148</v>
      </c>
      <c r="V4" s="135"/>
      <c r="W4" s="135"/>
      <c r="X4" s="136" t="s">
        <v>148</v>
      </c>
      <c r="Y4" s="135"/>
    </row>
    <row r="5" spans="1:26" s="142" customFormat="1">
      <c r="A5" s="164">
        <v>4</v>
      </c>
      <c r="B5" s="138"/>
      <c r="C5" s="138"/>
      <c r="D5" s="137">
        <v>201</v>
      </c>
      <c r="E5" s="134" t="s">
        <v>145</v>
      </c>
      <c r="F5" s="139"/>
      <c r="G5" s="135" t="s">
        <v>149</v>
      </c>
      <c r="H5" s="135" t="s">
        <v>143</v>
      </c>
      <c r="I5" s="140"/>
      <c r="J5" s="218"/>
      <c r="K5" s="136" t="s">
        <v>148</v>
      </c>
      <c r="L5" s="136" t="s">
        <v>148</v>
      </c>
      <c r="M5" s="135"/>
      <c r="N5" s="134">
        <v>0</v>
      </c>
      <c r="O5" s="136"/>
      <c r="P5" s="135"/>
      <c r="Q5" s="141"/>
      <c r="R5" s="141"/>
      <c r="S5" s="136" t="s">
        <v>148</v>
      </c>
      <c r="T5" s="136" t="s">
        <v>148</v>
      </c>
      <c r="U5" s="136" t="s">
        <v>148</v>
      </c>
      <c r="V5" s="135"/>
      <c r="W5" s="135"/>
      <c r="X5" s="136" t="s">
        <v>148</v>
      </c>
      <c r="Y5" s="135"/>
    </row>
    <row r="6" spans="1:26" ht="24">
      <c r="A6" s="164">
        <v>5</v>
      </c>
      <c r="B6" s="39"/>
      <c r="C6" s="39"/>
      <c r="D6" s="32">
        <v>205</v>
      </c>
      <c r="E6" s="32" t="s">
        <v>150</v>
      </c>
      <c r="F6" s="85" t="s">
        <v>151</v>
      </c>
      <c r="G6" s="51" t="s">
        <v>152</v>
      </c>
      <c r="H6" s="51" t="s">
        <v>153</v>
      </c>
      <c r="I6" s="51"/>
      <c r="J6" s="94"/>
      <c r="K6" s="125" t="s">
        <v>154</v>
      </c>
      <c r="L6" s="125" t="s">
        <v>154</v>
      </c>
      <c r="M6" s="32" t="s">
        <v>52</v>
      </c>
      <c r="N6" s="32">
        <v>1</v>
      </c>
      <c r="O6" s="73"/>
      <c r="P6" s="132" t="s">
        <v>155</v>
      </c>
      <c r="Q6" s="13"/>
      <c r="R6" s="13"/>
      <c r="S6" s="125" t="s">
        <v>154</v>
      </c>
      <c r="T6" s="125" t="s">
        <v>154</v>
      </c>
      <c r="U6" s="125" t="s">
        <v>156</v>
      </c>
      <c r="V6" s="51"/>
      <c r="W6" s="51"/>
      <c r="X6" s="125" t="s">
        <v>157</v>
      </c>
      <c r="Y6" s="12"/>
    </row>
    <row r="7" spans="1:26" ht="120">
      <c r="A7" s="164">
        <v>6</v>
      </c>
      <c r="B7" s="12"/>
      <c r="C7" s="12"/>
      <c r="D7" s="32">
        <v>214</v>
      </c>
      <c r="E7" s="32" t="s">
        <v>150</v>
      </c>
      <c r="F7" s="85" t="s">
        <v>158</v>
      </c>
      <c r="G7" s="51" t="s">
        <v>159</v>
      </c>
      <c r="H7" s="51" t="s">
        <v>160</v>
      </c>
      <c r="I7" s="51"/>
      <c r="J7" s="94" t="s">
        <v>161</v>
      </c>
      <c r="K7" s="308" t="s">
        <v>658</v>
      </c>
      <c r="L7" s="309" t="s">
        <v>658</v>
      </c>
      <c r="M7" s="32" t="s">
        <v>52</v>
      </c>
      <c r="N7" s="32">
        <v>1</v>
      </c>
      <c r="O7" s="76"/>
      <c r="P7" s="132" t="s">
        <v>155</v>
      </c>
      <c r="Q7" s="11"/>
      <c r="R7" s="11"/>
      <c r="S7" s="308" t="s">
        <v>658</v>
      </c>
      <c r="T7" s="309" t="s">
        <v>658</v>
      </c>
      <c r="U7" s="125" t="s">
        <v>162</v>
      </c>
      <c r="V7" s="95"/>
      <c r="W7" s="95"/>
      <c r="X7" s="125" t="s">
        <v>162</v>
      </c>
      <c r="Y7" s="95"/>
    </row>
    <row r="8" spans="1:26" ht="24">
      <c r="A8" s="164">
        <v>7</v>
      </c>
      <c r="B8" s="106"/>
      <c r="C8" s="106"/>
      <c r="D8" s="107">
        <v>223</v>
      </c>
      <c r="E8" s="107" t="s">
        <v>150</v>
      </c>
      <c r="F8" s="108"/>
      <c r="G8" s="110" t="s">
        <v>163</v>
      </c>
      <c r="H8" s="110" t="s">
        <v>164</v>
      </c>
      <c r="I8" s="109"/>
      <c r="J8" s="113"/>
      <c r="K8" s="89" t="s">
        <v>165</v>
      </c>
      <c r="L8" s="89" t="s">
        <v>165</v>
      </c>
      <c r="M8" s="107" t="s">
        <v>166</v>
      </c>
      <c r="N8" s="107">
        <v>0</v>
      </c>
      <c r="O8" s="123"/>
      <c r="P8" s="184"/>
      <c r="Q8" s="145"/>
      <c r="R8" s="145"/>
      <c r="S8" s="89" t="s">
        <v>165</v>
      </c>
      <c r="T8" s="89" t="s">
        <v>165</v>
      </c>
      <c r="U8" s="89" t="s">
        <v>165</v>
      </c>
      <c r="V8" s="109"/>
      <c r="W8" s="109"/>
      <c r="X8" s="89" t="s">
        <v>165</v>
      </c>
      <c r="Y8" s="106"/>
    </row>
    <row r="9" spans="1:26" ht="132">
      <c r="A9" s="164">
        <v>8</v>
      </c>
      <c r="B9" s="39"/>
      <c r="C9" s="39"/>
      <c r="D9" s="32">
        <v>232</v>
      </c>
      <c r="E9" s="32" t="s">
        <v>167</v>
      </c>
      <c r="F9" s="85" t="s">
        <v>168</v>
      </c>
      <c r="G9" s="51" t="s">
        <v>169</v>
      </c>
      <c r="H9" s="51" t="s">
        <v>170</v>
      </c>
      <c r="I9" s="51" t="s">
        <v>171</v>
      </c>
      <c r="J9" s="94" t="s">
        <v>172</v>
      </c>
      <c r="K9" s="51" t="s">
        <v>173</v>
      </c>
      <c r="L9" s="51" t="s">
        <v>173</v>
      </c>
      <c r="M9" s="32" t="s">
        <v>52</v>
      </c>
      <c r="N9" s="32">
        <v>1</v>
      </c>
      <c r="O9" s="182" t="s">
        <v>27</v>
      </c>
      <c r="P9" s="132" t="s">
        <v>155</v>
      </c>
      <c r="Q9" s="13"/>
      <c r="R9" s="13"/>
      <c r="S9" s="51" t="s">
        <v>173</v>
      </c>
      <c r="T9" s="51" t="s">
        <v>173</v>
      </c>
      <c r="U9" s="176" t="s">
        <v>174</v>
      </c>
      <c r="V9" s="51" t="s">
        <v>173</v>
      </c>
      <c r="W9" s="51"/>
      <c r="X9" s="176" t="s">
        <v>174</v>
      </c>
      <c r="Y9" s="51" t="s">
        <v>173</v>
      </c>
    </row>
    <row r="10" spans="1:26" ht="120">
      <c r="A10" s="164">
        <v>9</v>
      </c>
      <c r="B10" s="106"/>
      <c r="C10" s="106"/>
      <c r="D10" s="96">
        <v>237</v>
      </c>
      <c r="E10" s="96" t="s">
        <v>175</v>
      </c>
      <c r="F10" s="108" t="s">
        <v>176</v>
      </c>
      <c r="G10" s="109" t="s">
        <v>177</v>
      </c>
      <c r="H10" s="109" t="s">
        <v>178</v>
      </c>
      <c r="I10" s="124"/>
      <c r="J10" s="113"/>
      <c r="K10" s="89" t="s">
        <v>179</v>
      </c>
      <c r="L10" s="89" t="s">
        <v>179</v>
      </c>
      <c r="M10" s="107" t="s">
        <v>58</v>
      </c>
      <c r="N10" s="107">
        <v>0</v>
      </c>
      <c r="O10" s="123"/>
      <c r="P10" s="184"/>
      <c r="Q10" s="100"/>
      <c r="R10" s="100"/>
      <c r="S10" s="89" t="s">
        <v>179</v>
      </c>
      <c r="T10" s="89" t="s">
        <v>179</v>
      </c>
      <c r="U10" s="89" t="s">
        <v>179</v>
      </c>
      <c r="V10" s="109"/>
      <c r="W10" s="109"/>
      <c r="X10" s="89" t="s">
        <v>179</v>
      </c>
      <c r="Y10" s="106"/>
    </row>
    <row r="11" spans="1:26" ht="216">
      <c r="A11" s="164">
        <v>10</v>
      </c>
      <c r="B11" s="39"/>
      <c r="C11" s="39"/>
      <c r="D11" s="32">
        <v>239</v>
      </c>
      <c r="E11" s="32" t="s">
        <v>27</v>
      </c>
      <c r="F11" s="85" t="s">
        <v>180</v>
      </c>
      <c r="G11" s="51" t="s">
        <v>181</v>
      </c>
      <c r="H11" s="51" t="s">
        <v>182</v>
      </c>
      <c r="I11" s="51" t="s">
        <v>183</v>
      </c>
      <c r="J11" s="94"/>
      <c r="K11" s="406" t="s">
        <v>925</v>
      </c>
      <c r="L11" s="406" t="s">
        <v>925</v>
      </c>
      <c r="M11" s="32" t="s">
        <v>52</v>
      </c>
      <c r="N11" s="32">
        <v>1</v>
      </c>
      <c r="O11" s="182" t="s">
        <v>27</v>
      </c>
      <c r="P11" s="132" t="s">
        <v>155</v>
      </c>
      <c r="Q11" s="13"/>
      <c r="R11" s="13"/>
      <c r="S11" s="356" t="s">
        <v>925</v>
      </c>
      <c r="T11" s="356" t="s">
        <v>925</v>
      </c>
      <c r="U11" s="176" t="s">
        <v>184</v>
      </c>
      <c r="V11" s="125"/>
      <c r="W11" s="125"/>
      <c r="X11" s="176" t="s">
        <v>184</v>
      </c>
      <c r="Y11" s="125"/>
    </row>
    <row r="12" spans="1:26" ht="192">
      <c r="A12" s="164">
        <v>11</v>
      </c>
      <c r="B12" s="12"/>
      <c r="C12" s="12"/>
      <c r="D12" s="32">
        <v>240</v>
      </c>
      <c r="E12" s="32" t="s">
        <v>150</v>
      </c>
      <c r="F12" s="85" t="s">
        <v>185</v>
      </c>
      <c r="G12" s="51" t="s">
        <v>186</v>
      </c>
      <c r="H12" s="51" t="s">
        <v>187</v>
      </c>
      <c r="I12" s="51" t="s">
        <v>183</v>
      </c>
      <c r="J12" s="94" t="s">
        <v>188</v>
      </c>
      <c r="K12" s="176" t="s">
        <v>184</v>
      </c>
      <c r="L12" s="176" t="s">
        <v>184</v>
      </c>
      <c r="M12" s="32" t="s">
        <v>52</v>
      </c>
      <c r="N12" s="32">
        <v>1</v>
      </c>
      <c r="O12" s="183" t="s">
        <v>27</v>
      </c>
      <c r="P12" s="132" t="s">
        <v>155</v>
      </c>
      <c r="Q12" s="13"/>
      <c r="R12" s="13"/>
      <c r="S12" s="176" t="s">
        <v>184</v>
      </c>
      <c r="T12" s="176" t="s">
        <v>184</v>
      </c>
      <c r="U12" s="176" t="s">
        <v>184</v>
      </c>
      <c r="V12" s="51"/>
      <c r="W12" s="51"/>
      <c r="X12" s="176" t="s">
        <v>184</v>
      </c>
      <c r="Y12" s="12"/>
    </row>
    <row r="13" spans="1:26" ht="72">
      <c r="A13" s="164">
        <v>12</v>
      </c>
      <c r="B13" s="12"/>
      <c r="C13" s="12"/>
      <c r="D13" s="32">
        <v>249</v>
      </c>
      <c r="E13" s="32" t="s">
        <v>150</v>
      </c>
      <c r="F13" s="85" t="s">
        <v>676</v>
      </c>
      <c r="G13" s="51" t="s">
        <v>189</v>
      </c>
      <c r="H13" s="51" t="s">
        <v>190</v>
      </c>
      <c r="I13" s="51" t="s">
        <v>191</v>
      </c>
      <c r="J13" s="94"/>
      <c r="K13" s="95" t="s">
        <v>192</v>
      </c>
      <c r="L13" s="95" t="s">
        <v>192</v>
      </c>
      <c r="M13" s="32" t="s">
        <v>166</v>
      </c>
      <c r="N13" s="32">
        <v>0</v>
      </c>
      <c r="O13" s="126"/>
      <c r="P13" s="132" t="s">
        <v>155</v>
      </c>
      <c r="Q13" s="14"/>
      <c r="R13" s="14"/>
      <c r="S13" s="95" t="s">
        <v>192</v>
      </c>
      <c r="T13" s="95" t="s">
        <v>192</v>
      </c>
      <c r="U13" s="95" t="s">
        <v>192</v>
      </c>
      <c r="V13" s="95"/>
      <c r="W13" s="95"/>
      <c r="X13" s="95" t="s">
        <v>192</v>
      </c>
      <c r="Y13" s="12"/>
    </row>
    <row r="14" spans="1:26" ht="48">
      <c r="A14" s="164">
        <v>13</v>
      </c>
      <c r="B14" s="12"/>
      <c r="C14" s="12"/>
      <c r="D14" s="32">
        <v>258</v>
      </c>
      <c r="E14" s="32" t="s">
        <v>193</v>
      </c>
      <c r="F14" s="85" t="s">
        <v>194</v>
      </c>
      <c r="G14" s="51" t="s">
        <v>195</v>
      </c>
      <c r="H14" s="51" t="s">
        <v>196</v>
      </c>
      <c r="I14" s="51" t="s">
        <v>197</v>
      </c>
      <c r="J14" s="94"/>
      <c r="K14" s="51" t="s">
        <v>198</v>
      </c>
      <c r="L14" s="152" t="s">
        <v>165</v>
      </c>
      <c r="M14" s="32" t="s">
        <v>2</v>
      </c>
      <c r="N14" s="32">
        <v>1</v>
      </c>
      <c r="O14" s="126"/>
      <c r="P14" s="132" t="s">
        <v>81</v>
      </c>
      <c r="Q14" s="14"/>
      <c r="R14" s="14"/>
      <c r="S14" s="51" t="s">
        <v>198</v>
      </c>
      <c r="T14" s="152" t="s">
        <v>165</v>
      </c>
      <c r="U14" s="51" t="s">
        <v>198</v>
      </c>
      <c r="V14" s="51"/>
      <c r="W14" s="51"/>
      <c r="X14" s="4" t="s">
        <v>165</v>
      </c>
      <c r="Y14" s="12"/>
    </row>
    <row r="15" spans="1:26" ht="132">
      <c r="A15" s="164">
        <v>14</v>
      </c>
      <c r="B15" s="12"/>
      <c r="C15" s="12"/>
      <c r="D15" s="32">
        <v>273</v>
      </c>
      <c r="E15" s="32" t="s">
        <v>27</v>
      </c>
      <c r="F15" s="85" t="s">
        <v>199</v>
      </c>
      <c r="G15" s="51" t="s">
        <v>200</v>
      </c>
      <c r="H15" s="51" t="s">
        <v>201</v>
      </c>
      <c r="I15" s="51" t="s">
        <v>202</v>
      </c>
      <c r="J15" s="94" t="s">
        <v>203</v>
      </c>
      <c r="K15" s="51" t="s">
        <v>204</v>
      </c>
      <c r="L15" s="51" t="s">
        <v>204</v>
      </c>
      <c r="M15" s="32" t="s">
        <v>52</v>
      </c>
      <c r="N15" s="32">
        <v>1</v>
      </c>
      <c r="O15" s="126"/>
      <c r="P15" s="132" t="s">
        <v>155</v>
      </c>
      <c r="Q15" s="14"/>
      <c r="R15" s="14"/>
      <c r="S15" s="51" t="s">
        <v>204</v>
      </c>
      <c r="T15" s="51" t="s">
        <v>204</v>
      </c>
      <c r="U15" s="51" t="s">
        <v>204</v>
      </c>
      <c r="V15" s="4" t="s">
        <v>205</v>
      </c>
      <c r="W15" s="4"/>
      <c r="X15" s="51" t="s">
        <v>204</v>
      </c>
      <c r="Y15" s="4" t="s">
        <v>205</v>
      </c>
    </row>
    <row r="16" spans="1:26" ht="190.5" customHeight="1">
      <c r="A16" s="164">
        <v>15</v>
      </c>
      <c r="B16" s="12"/>
      <c r="C16" s="12"/>
      <c r="D16" s="32">
        <v>274</v>
      </c>
      <c r="E16" s="32" t="s">
        <v>206</v>
      </c>
      <c r="F16" s="85" t="s">
        <v>207</v>
      </c>
      <c r="G16" s="51" t="s">
        <v>208</v>
      </c>
      <c r="H16" s="51" t="s">
        <v>209</v>
      </c>
      <c r="I16" s="51" t="s">
        <v>210</v>
      </c>
      <c r="J16" s="407" t="s">
        <v>952</v>
      </c>
      <c r="K16" s="51" t="s">
        <v>211</v>
      </c>
      <c r="L16" s="51" t="s">
        <v>212</v>
      </c>
      <c r="M16" s="32" t="s">
        <v>166</v>
      </c>
      <c r="N16" s="32">
        <v>0</v>
      </c>
      <c r="O16" s="126"/>
      <c r="P16" s="132" t="s">
        <v>155</v>
      </c>
      <c r="Q16" s="278"/>
      <c r="R16" s="14"/>
      <c r="S16" s="51" t="s">
        <v>211</v>
      </c>
      <c r="T16" s="51" t="s">
        <v>212</v>
      </c>
      <c r="U16" s="51" t="s">
        <v>211</v>
      </c>
      <c r="V16" s="4"/>
      <c r="W16" s="4"/>
      <c r="X16" s="51" t="s">
        <v>212</v>
      </c>
      <c r="Y16" s="4"/>
    </row>
    <row r="17" spans="1:26" ht="84">
      <c r="A17" s="164">
        <v>16</v>
      </c>
      <c r="B17" s="12"/>
      <c r="C17" s="12"/>
      <c r="D17" s="32">
        <v>281</v>
      </c>
      <c r="E17" s="32" t="s">
        <v>213</v>
      </c>
      <c r="F17" s="85" t="s">
        <v>214</v>
      </c>
      <c r="G17" s="51" t="s">
        <v>215</v>
      </c>
      <c r="H17" s="51" t="s">
        <v>216</v>
      </c>
      <c r="I17" s="51" t="s">
        <v>217</v>
      </c>
      <c r="J17" s="94" t="s">
        <v>218</v>
      </c>
      <c r="K17" s="4" t="s">
        <v>219</v>
      </c>
      <c r="L17" s="4" t="s">
        <v>219</v>
      </c>
      <c r="M17" s="32" t="s">
        <v>166</v>
      </c>
      <c r="N17" s="32">
        <v>0</v>
      </c>
      <c r="O17" s="126"/>
      <c r="P17" s="132" t="s">
        <v>155</v>
      </c>
      <c r="Q17" s="14"/>
      <c r="R17" s="14"/>
      <c r="S17" s="4" t="s">
        <v>219</v>
      </c>
      <c r="T17" s="4" t="s">
        <v>219</v>
      </c>
      <c r="U17" s="4" t="s">
        <v>219</v>
      </c>
      <c r="V17" s="51"/>
      <c r="W17" s="51"/>
      <c r="X17" s="4" t="s">
        <v>219</v>
      </c>
      <c r="Y17" s="12"/>
    </row>
    <row r="18" spans="1:26" ht="48">
      <c r="A18" s="164">
        <v>17</v>
      </c>
      <c r="B18" s="106"/>
      <c r="C18" s="106"/>
      <c r="D18" s="107">
        <v>296</v>
      </c>
      <c r="E18" s="107" t="s">
        <v>220</v>
      </c>
      <c r="F18" s="108" t="s">
        <v>221</v>
      </c>
      <c r="G18" s="109" t="s">
        <v>222</v>
      </c>
      <c r="H18" s="109" t="s">
        <v>223</v>
      </c>
      <c r="I18" s="109"/>
      <c r="J18" s="113"/>
      <c r="K18" s="89" t="s">
        <v>165</v>
      </c>
      <c r="L18" s="89" t="s">
        <v>165</v>
      </c>
      <c r="M18" s="107" t="s">
        <v>166</v>
      </c>
      <c r="N18" s="107">
        <v>0</v>
      </c>
      <c r="O18" s="127"/>
      <c r="P18" s="184"/>
      <c r="Q18" s="111"/>
      <c r="R18" s="111"/>
      <c r="S18" s="89" t="s">
        <v>165</v>
      </c>
      <c r="T18" s="89" t="s">
        <v>165</v>
      </c>
      <c r="U18" s="89" t="s">
        <v>165</v>
      </c>
      <c r="V18" s="109"/>
      <c r="W18" s="109"/>
      <c r="X18" s="89" t="s">
        <v>165</v>
      </c>
      <c r="Y18" s="106"/>
    </row>
    <row r="19" spans="1:26" ht="132">
      <c r="A19" s="164">
        <v>18</v>
      </c>
      <c r="B19" s="39"/>
      <c r="C19" s="39"/>
      <c r="D19" s="32">
        <v>299</v>
      </c>
      <c r="E19" s="32" t="s">
        <v>27</v>
      </c>
      <c r="F19" s="85" t="s">
        <v>224</v>
      </c>
      <c r="G19" s="51" t="s">
        <v>225</v>
      </c>
      <c r="H19" s="51" t="s">
        <v>226</v>
      </c>
      <c r="I19" s="95" t="s">
        <v>227</v>
      </c>
      <c r="J19" s="94" t="s">
        <v>203</v>
      </c>
      <c r="K19" s="51" t="s">
        <v>228</v>
      </c>
      <c r="L19" s="51" t="s">
        <v>228</v>
      </c>
      <c r="M19" s="32" t="s">
        <v>52</v>
      </c>
      <c r="N19" s="32">
        <v>1</v>
      </c>
      <c r="O19" s="73"/>
      <c r="P19" s="132" t="s">
        <v>155</v>
      </c>
      <c r="Q19" s="13"/>
      <c r="R19" s="13"/>
      <c r="S19" s="51" t="s">
        <v>228</v>
      </c>
      <c r="T19" s="51" t="s">
        <v>228</v>
      </c>
      <c r="U19" s="51" t="s">
        <v>228</v>
      </c>
      <c r="V19" s="4" t="s">
        <v>205</v>
      </c>
      <c r="W19" s="4"/>
      <c r="X19" s="51" t="s">
        <v>228</v>
      </c>
      <c r="Y19" s="12" t="s">
        <v>205</v>
      </c>
    </row>
    <row r="20" spans="1:26" ht="48">
      <c r="A20" s="164">
        <v>19</v>
      </c>
      <c r="B20" s="39"/>
      <c r="C20" s="39"/>
      <c r="D20" s="32">
        <v>300</v>
      </c>
      <c r="E20" s="32" t="s">
        <v>206</v>
      </c>
      <c r="F20" s="85" t="s">
        <v>229</v>
      </c>
      <c r="G20" s="51" t="s">
        <v>230</v>
      </c>
      <c r="H20" s="51" t="s">
        <v>231</v>
      </c>
      <c r="I20" s="95" t="s">
        <v>232</v>
      </c>
      <c r="J20" s="94" t="s">
        <v>233</v>
      </c>
      <c r="K20" s="51" t="s">
        <v>234</v>
      </c>
      <c r="L20" s="51" t="s">
        <v>234</v>
      </c>
      <c r="M20" s="32" t="s">
        <v>166</v>
      </c>
      <c r="N20" s="32">
        <v>0</v>
      </c>
      <c r="O20" s="73"/>
      <c r="P20" s="132" t="s">
        <v>155</v>
      </c>
      <c r="Q20" s="13"/>
      <c r="R20" s="13"/>
      <c r="S20" s="51" t="s">
        <v>234</v>
      </c>
      <c r="T20" s="51" t="s">
        <v>234</v>
      </c>
      <c r="U20" s="51" t="s">
        <v>234</v>
      </c>
      <c r="V20" s="4"/>
      <c r="W20" s="4"/>
      <c r="X20" s="51" t="s">
        <v>234</v>
      </c>
      <c r="Y20" s="4"/>
    </row>
    <row r="21" spans="1:26" ht="48">
      <c r="A21" s="164">
        <v>20</v>
      </c>
      <c r="C21" s="39"/>
      <c r="D21" s="32">
        <v>307</v>
      </c>
      <c r="E21" s="32" t="s">
        <v>213</v>
      </c>
      <c r="F21" s="85" t="s">
        <v>235</v>
      </c>
      <c r="G21" s="51" t="s">
        <v>236</v>
      </c>
      <c r="H21" s="51" t="s">
        <v>237</v>
      </c>
      <c r="I21" s="51"/>
      <c r="J21" s="94" t="s">
        <v>233</v>
      </c>
      <c r="K21" s="4" t="s">
        <v>165</v>
      </c>
      <c r="L21" s="4" t="s">
        <v>165</v>
      </c>
      <c r="M21" s="32" t="s">
        <v>166</v>
      </c>
      <c r="N21" s="32">
        <v>0</v>
      </c>
      <c r="O21" s="73"/>
      <c r="P21" s="132" t="s">
        <v>155</v>
      </c>
      <c r="Q21" s="13"/>
      <c r="R21" s="13"/>
      <c r="S21" s="4" t="s">
        <v>165</v>
      </c>
      <c r="T21" s="4" t="s">
        <v>165</v>
      </c>
      <c r="U21" s="4" t="s">
        <v>165</v>
      </c>
      <c r="V21" s="51"/>
      <c r="W21" s="51"/>
      <c r="X21" s="4" t="s">
        <v>165</v>
      </c>
      <c r="Y21" s="12"/>
    </row>
    <row r="22" spans="1:26" ht="60">
      <c r="A22" s="164">
        <v>21</v>
      </c>
      <c r="B22" s="105"/>
      <c r="C22" s="105"/>
      <c r="D22" s="107">
        <v>322</v>
      </c>
      <c r="E22" s="107">
        <v>9</v>
      </c>
      <c r="F22" s="97" t="s">
        <v>238</v>
      </c>
      <c r="G22" s="109" t="s">
        <v>239</v>
      </c>
      <c r="H22" s="109" t="s">
        <v>240</v>
      </c>
      <c r="I22" s="103"/>
      <c r="J22" s="98"/>
      <c r="K22" s="116" t="s">
        <v>179</v>
      </c>
      <c r="L22" s="99" t="s">
        <v>179</v>
      </c>
      <c r="M22" s="107" t="s">
        <v>58</v>
      </c>
      <c r="N22" s="107">
        <v>0</v>
      </c>
      <c r="O22" s="99"/>
      <c r="P22" s="185"/>
      <c r="Q22" s="100"/>
      <c r="R22" s="100"/>
      <c r="S22" s="116" t="s">
        <v>179</v>
      </c>
      <c r="T22" s="99" t="s">
        <v>179</v>
      </c>
      <c r="U22" s="103" t="s">
        <v>179</v>
      </c>
      <c r="V22" s="103"/>
      <c r="W22" s="103"/>
      <c r="X22" s="103" t="s">
        <v>179</v>
      </c>
      <c r="Y22" s="104"/>
    </row>
    <row r="23" spans="1:26" ht="132">
      <c r="A23" s="164">
        <v>22</v>
      </c>
      <c r="B23" s="75"/>
      <c r="C23" s="75"/>
      <c r="D23" s="32">
        <v>323</v>
      </c>
      <c r="E23" s="32" t="s">
        <v>241</v>
      </c>
      <c r="F23" s="71" t="s">
        <v>242</v>
      </c>
      <c r="G23" s="51" t="s">
        <v>243</v>
      </c>
      <c r="H23" s="51" t="s">
        <v>244</v>
      </c>
      <c r="I23" s="76" t="s">
        <v>245</v>
      </c>
      <c r="J23" s="219"/>
      <c r="K23" s="14" t="s">
        <v>246</v>
      </c>
      <c r="L23" s="504" t="s">
        <v>999</v>
      </c>
      <c r="M23" s="32" t="s">
        <v>166</v>
      </c>
      <c r="N23" s="32">
        <v>0</v>
      </c>
      <c r="O23" s="82"/>
      <c r="P23" s="186" t="s">
        <v>155</v>
      </c>
      <c r="Q23" s="74"/>
      <c r="R23" s="74"/>
      <c r="S23" s="14" t="s">
        <v>246</v>
      </c>
      <c r="T23" s="14" t="s">
        <v>247</v>
      </c>
      <c r="U23" s="14" t="s">
        <v>246</v>
      </c>
      <c r="W23" s="75"/>
      <c r="X23" s="14" t="s">
        <v>247</v>
      </c>
      <c r="Y23" s="355" t="s">
        <v>1000</v>
      </c>
    </row>
    <row r="24" spans="1:26" ht="154.5" customHeight="1">
      <c r="A24" s="164">
        <v>23</v>
      </c>
      <c r="B24" s="70"/>
      <c r="C24" s="70"/>
      <c r="D24" s="32">
        <v>353</v>
      </c>
      <c r="E24" s="32" t="s">
        <v>241</v>
      </c>
      <c r="F24" s="71" t="s">
        <v>242</v>
      </c>
      <c r="G24" s="51" t="s">
        <v>248</v>
      </c>
      <c r="H24" s="51" t="s">
        <v>244</v>
      </c>
      <c r="I24" s="73" t="s">
        <v>249</v>
      </c>
      <c r="J24" s="220"/>
      <c r="K24" s="14" t="s">
        <v>250</v>
      </c>
      <c r="L24" s="504" t="s">
        <v>1002</v>
      </c>
      <c r="M24" s="32" t="s">
        <v>166</v>
      </c>
      <c r="N24" s="32">
        <v>0</v>
      </c>
      <c r="O24" s="82"/>
      <c r="P24" s="186" t="s">
        <v>155</v>
      </c>
      <c r="Q24" s="74"/>
      <c r="R24" s="74"/>
      <c r="S24" s="14" t="s">
        <v>250</v>
      </c>
      <c r="T24" s="14" t="s">
        <v>247</v>
      </c>
      <c r="U24" s="14" t="s">
        <v>250</v>
      </c>
      <c r="W24" s="75"/>
      <c r="X24" s="14" t="s">
        <v>251</v>
      </c>
      <c r="Y24" s="504" t="s">
        <v>1001</v>
      </c>
    </row>
    <row r="25" spans="1:26" ht="144">
      <c r="A25" s="164">
        <v>24</v>
      </c>
      <c r="B25" s="70"/>
      <c r="C25" s="70"/>
      <c r="D25" s="32">
        <v>383</v>
      </c>
      <c r="E25" s="32" t="s">
        <v>241</v>
      </c>
      <c r="F25" s="71" t="s">
        <v>242</v>
      </c>
      <c r="G25" s="51" t="s">
        <v>252</v>
      </c>
      <c r="H25" s="51" t="s">
        <v>244</v>
      </c>
      <c r="I25" s="73" t="s">
        <v>253</v>
      </c>
      <c r="J25" s="220"/>
      <c r="K25" s="14" t="s">
        <v>254</v>
      </c>
      <c r="L25" s="504" t="s">
        <v>1004</v>
      </c>
      <c r="M25" s="32" t="s">
        <v>166</v>
      </c>
      <c r="N25" s="32">
        <v>0</v>
      </c>
      <c r="O25" s="82"/>
      <c r="P25" s="186" t="s">
        <v>155</v>
      </c>
      <c r="Q25" s="74"/>
      <c r="R25" s="74"/>
      <c r="S25" s="14" t="s">
        <v>254</v>
      </c>
      <c r="T25" s="14" t="s">
        <v>247</v>
      </c>
      <c r="U25" s="14" t="s">
        <v>254</v>
      </c>
      <c r="W25" s="75"/>
      <c r="X25" s="14" t="s">
        <v>247</v>
      </c>
      <c r="Y25" s="504" t="s">
        <v>1003</v>
      </c>
    </row>
    <row r="26" spans="1:26" ht="144">
      <c r="A26" s="164">
        <v>25</v>
      </c>
      <c r="B26" s="70"/>
      <c r="C26" s="70"/>
      <c r="D26" s="32">
        <v>413</v>
      </c>
      <c r="E26" s="32" t="s">
        <v>241</v>
      </c>
      <c r="F26" s="71" t="s">
        <v>242</v>
      </c>
      <c r="G26" s="51" t="s">
        <v>255</v>
      </c>
      <c r="H26" s="51" t="s">
        <v>244</v>
      </c>
      <c r="I26" s="73" t="s">
        <v>256</v>
      </c>
      <c r="J26" s="220"/>
      <c r="K26" s="14" t="s">
        <v>257</v>
      </c>
      <c r="L26" s="504" t="s">
        <v>1005</v>
      </c>
      <c r="M26" s="32" t="s">
        <v>166</v>
      </c>
      <c r="N26" s="32">
        <v>0</v>
      </c>
      <c r="O26" s="82"/>
      <c r="P26" s="186" t="s">
        <v>155</v>
      </c>
      <c r="Q26" s="74"/>
      <c r="R26" s="74"/>
      <c r="S26" s="14" t="s">
        <v>257</v>
      </c>
      <c r="T26" s="14" t="s">
        <v>247</v>
      </c>
      <c r="U26" s="14" t="s">
        <v>257</v>
      </c>
      <c r="W26" s="75"/>
      <c r="X26" s="14" t="s">
        <v>247</v>
      </c>
      <c r="Y26" s="355" t="s">
        <v>1006</v>
      </c>
    </row>
    <row r="27" spans="1:26" ht="144">
      <c r="A27" s="164">
        <v>26</v>
      </c>
      <c r="B27" s="70"/>
      <c r="C27" s="70"/>
      <c r="D27" s="32">
        <v>443</v>
      </c>
      <c r="E27" s="32" t="s">
        <v>241</v>
      </c>
      <c r="F27" s="71" t="s">
        <v>242</v>
      </c>
      <c r="G27" s="51" t="s">
        <v>258</v>
      </c>
      <c r="H27" s="51" t="s">
        <v>244</v>
      </c>
      <c r="I27" s="73" t="s">
        <v>259</v>
      </c>
      <c r="J27" s="220"/>
      <c r="K27" s="14" t="s">
        <v>260</v>
      </c>
      <c r="L27" s="504" t="s">
        <v>1007</v>
      </c>
      <c r="M27" s="32" t="s">
        <v>166</v>
      </c>
      <c r="N27" s="32">
        <v>0</v>
      </c>
      <c r="O27" s="82"/>
      <c r="P27" s="186" t="s">
        <v>155</v>
      </c>
      <c r="Q27" s="74"/>
      <c r="R27" s="74"/>
      <c r="S27" s="14" t="s">
        <v>260</v>
      </c>
      <c r="T27" s="14" t="s">
        <v>247</v>
      </c>
      <c r="U27" s="14" t="s">
        <v>261</v>
      </c>
      <c r="W27" s="75"/>
      <c r="X27" s="14" t="s">
        <v>247</v>
      </c>
      <c r="Y27" s="355" t="s">
        <v>1008</v>
      </c>
    </row>
    <row r="28" spans="1:26" ht="144">
      <c r="A28" s="164">
        <v>27</v>
      </c>
      <c r="B28" s="70"/>
      <c r="C28" s="70"/>
      <c r="D28" s="32">
        <v>473</v>
      </c>
      <c r="E28" s="32" t="s">
        <v>241</v>
      </c>
      <c r="F28" s="71" t="s">
        <v>242</v>
      </c>
      <c r="G28" s="51" t="s">
        <v>262</v>
      </c>
      <c r="H28" s="51" t="s">
        <v>244</v>
      </c>
      <c r="I28" s="73" t="s">
        <v>263</v>
      </c>
      <c r="J28" s="220"/>
      <c r="K28" s="14" t="s">
        <v>264</v>
      </c>
      <c r="L28" s="504" t="s">
        <v>1009</v>
      </c>
      <c r="M28" s="32" t="s">
        <v>166</v>
      </c>
      <c r="N28" s="32">
        <v>0</v>
      </c>
      <c r="O28" s="82"/>
      <c r="P28" s="186" t="s">
        <v>155</v>
      </c>
      <c r="Q28" s="74"/>
      <c r="R28" s="74"/>
      <c r="S28" s="14" t="s">
        <v>264</v>
      </c>
      <c r="T28" s="14" t="s">
        <v>247</v>
      </c>
      <c r="U28" s="14" t="s">
        <v>264</v>
      </c>
      <c r="V28" s="75"/>
      <c r="W28" s="75"/>
      <c r="X28" s="14" t="s">
        <v>148</v>
      </c>
      <c r="Y28" s="355" t="s">
        <v>1010</v>
      </c>
    </row>
    <row r="29" spans="1:26" ht="132">
      <c r="A29" s="164">
        <v>28</v>
      </c>
      <c r="B29" s="75"/>
      <c r="C29" s="75"/>
      <c r="D29" s="32">
        <v>503</v>
      </c>
      <c r="E29" s="32" t="s">
        <v>265</v>
      </c>
      <c r="F29" s="71" t="s">
        <v>266</v>
      </c>
      <c r="G29" s="51" t="s">
        <v>267</v>
      </c>
      <c r="H29" s="51" t="s">
        <v>268</v>
      </c>
      <c r="I29" s="73"/>
      <c r="J29" s="221" t="s">
        <v>269</v>
      </c>
      <c r="K29" s="316" t="s">
        <v>738</v>
      </c>
      <c r="L29" s="317" t="s">
        <v>739</v>
      </c>
      <c r="M29" s="32" t="s">
        <v>52</v>
      </c>
      <c r="N29" s="32">
        <v>1</v>
      </c>
      <c r="O29" s="187" t="s">
        <v>27</v>
      </c>
      <c r="P29" s="186" t="s">
        <v>155</v>
      </c>
      <c r="Q29" s="74"/>
      <c r="R29" s="74"/>
      <c r="S29" s="316" t="s">
        <v>738</v>
      </c>
      <c r="T29" s="317" t="s">
        <v>739</v>
      </c>
      <c r="U29" s="5" t="s">
        <v>270</v>
      </c>
      <c r="V29" s="5" t="s">
        <v>271</v>
      </c>
      <c r="W29" s="5" t="s">
        <v>272</v>
      </c>
      <c r="X29" s="5" t="s">
        <v>270</v>
      </c>
      <c r="Y29" s="5" t="s">
        <v>271</v>
      </c>
      <c r="Z29" s="5" t="s">
        <v>272</v>
      </c>
    </row>
    <row r="30" spans="1:26" ht="47.25" customHeight="1">
      <c r="A30" s="164">
        <v>29</v>
      </c>
      <c r="B30" s="75"/>
      <c r="C30" s="75"/>
      <c r="D30" s="32">
        <v>527</v>
      </c>
      <c r="E30" s="32" t="s">
        <v>273</v>
      </c>
      <c r="F30" s="71" t="s">
        <v>274</v>
      </c>
      <c r="G30" s="51" t="s">
        <v>275</v>
      </c>
      <c r="H30" s="51" t="s">
        <v>276</v>
      </c>
      <c r="I30" s="74"/>
      <c r="J30" s="72"/>
      <c r="K30" s="74" t="s">
        <v>277</v>
      </c>
      <c r="L30" s="74" t="s">
        <v>165</v>
      </c>
      <c r="M30" s="32" t="s">
        <v>166</v>
      </c>
      <c r="N30" s="32">
        <v>0</v>
      </c>
      <c r="O30" s="77"/>
      <c r="P30" s="82" t="s">
        <v>155</v>
      </c>
      <c r="Q30" s="13"/>
      <c r="R30" s="13"/>
      <c r="S30" s="74" t="s">
        <v>277</v>
      </c>
      <c r="T30" s="74" t="s">
        <v>165</v>
      </c>
      <c r="U30" s="74" t="s">
        <v>165</v>
      </c>
      <c r="V30" s="74"/>
      <c r="W30" s="74"/>
      <c r="X30" s="74" t="s">
        <v>165</v>
      </c>
      <c r="Y30" s="75"/>
    </row>
    <row r="31" spans="1:26" ht="26.25" customHeight="1">
      <c r="A31" s="164">
        <v>30</v>
      </c>
      <c r="B31" s="70"/>
      <c r="C31" s="70"/>
      <c r="D31" s="32">
        <v>607</v>
      </c>
      <c r="E31" s="32" t="s">
        <v>278</v>
      </c>
      <c r="F31" s="71"/>
      <c r="G31" s="51" t="s">
        <v>279</v>
      </c>
      <c r="H31" s="51" t="s">
        <v>280</v>
      </c>
      <c r="I31" s="74"/>
      <c r="J31" s="72"/>
      <c r="K31" s="5" t="s">
        <v>281</v>
      </c>
      <c r="L31" s="5" t="s">
        <v>281</v>
      </c>
      <c r="M31" s="32" t="s">
        <v>52</v>
      </c>
      <c r="N31" s="32">
        <v>0</v>
      </c>
      <c r="O31" s="73"/>
      <c r="P31" s="82" t="s">
        <v>155</v>
      </c>
      <c r="Q31" s="13"/>
      <c r="R31" s="13"/>
      <c r="S31" s="5" t="s">
        <v>281</v>
      </c>
      <c r="T31" s="5" t="s">
        <v>281</v>
      </c>
      <c r="U31" s="5" t="s">
        <v>281</v>
      </c>
      <c r="V31" s="74"/>
      <c r="W31" s="74"/>
      <c r="X31" s="5" t="s">
        <v>281</v>
      </c>
      <c r="Y31" s="75"/>
    </row>
    <row r="32" spans="1:26" ht="36.75" customHeight="1">
      <c r="A32" s="164">
        <v>31</v>
      </c>
      <c r="B32" s="70"/>
      <c r="C32" s="70"/>
      <c r="D32" s="32">
        <v>616</v>
      </c>
      <c r="E32" s="32" t="s">
        <v>282</v>
      </c>
      <c r="F32" s="71" t="s">
        <v>283</v>
      </c>
      <c r="G32" s="51" t="s">
        <v>284</v>
      </c>
      <c r="H32" s="51" t="s">
        <v>285</v>
      </c>
      <c r="I32" s="74"/>
      <c r="J32" s="72"/>
      <c r="K32" s="5" t="s">
        <v>281</v>
      </c>
      <c r="L32" s="5" t="s">
        <v>281</v>
      </c>
      <c r="M32" s="32" t="s">
        <v>52</v>
      </c>
      <c r="N32" s="32">
        <v>0</v>
      </c>
      <c r="O32" s="73"/>
      <c r="P32" s="82" t="s">
        <v>155</v>
      </c>
      <c r="Q32" s="13"/>
      <c r="R32" s="13"/>
      <c r="S32" s="5" t="s">
        <v>281</v>
      </c>
      <c r="T32" s="5" t="s">
        <v>281</v>
      </c>
      <c r="U32" s="5" t="s">
        <v>281</v>
      </c>
      <c r="V32" s="74"/>
      <c r="W32" s="74"/>
      <c r="X32" s="5" t="s">
        <v>281</v>
      </c>
      <c r="Y32" s="75"/>
    </row>
    <row r="33" spans="1:25" ht="38.25" customHeight="1">
      <c r="A33" s="164">
        <v>32</v>
      </c>
      <c r="B33" s="70"/>
      <c r="C33" s="70"/>
      <c r="D33" s="32">
        <v>625</v>
      </c>
      <c r="E33" s="32" t="s">
        <v>286</v>
      </c>
      <c r="F33" s="71" t="s">
        <v>287</v>
      </c>
      <c r="G33" s="51" t="s">
        <v>288</v>
      </c>
      <c r="H33" s="51" t="s">
        <v>289</v>
      </c>
      <c r="I33" s="74"/>
      <c r="J33" s="72"/>
      <c r="K33" s="5" t="s">
        <v>290</v>
      </c>
      <c r="L33" s="5" t="s">
        <v>290</v>
      </c>
      <c r="M33" s="32" t="s">
        <v>52</v>
      </c>
      <c r="N33" s="32">
        <v>0</v>
      </c>
      <c r="O33" s="73"/>
      <c r="P33" s="82" t="s">
        <v>155</v>
      </c>
      <c r="Q33" s="13"/>
      <c r="R33" s="13"/>
      <c r="S33" s="5" t="s">
        <v>290</v>
      </c>
      <c r="T33" s="5" t="s">
        <v>290</v>
      </c>
      <c r="U33" s="5" t="s">
        <v>290</v>
      </c>
      <c r="V33" s="74"/>
      <c r="W33" s="74"/>
      <c r="X33" s="5" t="s">
        <v>290</v>
      </c>
      <c r="Y33" s="75"/>
    </row>
    <row r="34" spans="1:25" ht="36.75" customHeight="1">
      <c r="A34" s="164">
        <v>33</v>
      </c>
      <c r="B34" s="70"/>
      <c r="C34" s="70"/>
      <c r="D34" s="32">
        <v>628</v>
      </c>
      <c r="E34" s="32" t="s">
        <v>291</v>
      </c>
      <c r="F34" s="71" t="s">
        <v>292</v>
      </c>
      <c r="G34" s="51" t="s">
        <v>293</v>
      </c>
      <c r="H34" s="51" t="s">
        <v>294</v>
      </c>
      <c r="I34" s="74"/>
      <c r="J34" s="72"/>
      <c r="K34" s="5" t="s">
        <v>295</v>
      </c>
      <c r="L34" s="5" t="s">
        <v>295</v>
      </c>
      <c r="M34" s="32" t="s">
        <v>52</v>
      </c>
      <c r="N34" s="32">
        <v>0</v>
      </c>
      <c r="O34" s="73"/>
      <c r="P34" s="82" t="s">
        <v>155</v>
      </c>
      <c r="Q34" s="13"/>
      <c r="R34" s="13"/>
      <c r="S34" s="5" t="s">
        <v>295</v>
      </c>
      <c r="T34" s="5" t="s">
        <v>295</v>
      </c>
      <c r="U34" s="5" t="s">
        <v>295</v>
      </c>
      <c r="V34" s="74"/>
      <c r="W34" s="74"/>
      <c r="X34" s="5" t="s">
        <v>295</v>
      </c>
      <c r="Y34" s="75"/>
    </row>
    <row r="35" spans="1:25" ht="168">
      <c r="A35" s="164">
        <v>34</v>
      </c>
      <c r="B35" s="75"/>
      <c r="C35" s="75"/>
      <c r="D35" s="32">
        <v>632</v>
      </c>
      <c r="E35" s="32" t="s">
        <v>296</v>
      </c>
      <c r="F35" s="71" t="s">
        <v>297</v>
      </c>
      <c r="G35" s="51" t="s">
        <v>298</v>
      </c>
      <c r="H35" s="51" t="s">
        <v>299</v>
      </c>
      <c r="I35" s="74"/>
      <c r="J35" s="72" t="s">
        <v>300</v>
      </c>
      <c r="K35" s="161" t="s">
        <v>165</v>
      </c>
      <c r="L35" s="214" t="s">
        <v>165</v>
      </c>
      <c r="M35" s="32" t="s">
        <v>166</v>
      </c>
      <c r="N35" s="32">
        <v>0</v>
      </c>
      <c r="O35" s="78"/>
      <c r="P35" s="82" t="s">
        <v>301</v>
      </c>
      <c r="Q35" s="188"/>
      <c r="R35" s="188"/>
      <c r="S35" s="161" t="s">
        <v>165</v>
      </c>
      <c r="T35" s="214" t="s">
        <v>165</v>
      </c>
      <c r="U35" s="74" t="s">
        <v>165</v>
      </c>
      <c r="V35" s="14"/>
      <c r="W35" s="14"/>
      <c r="X35" s="74" t="s">
        <v>165</v>
      </c>
      <c r="Y35" s="75"/>
    </row>
    <row r="36" spans="1:25" ht="84">
      <c r="A36" s="164">
        <v>35</v>
      </c>
      <c r="B36" s="70"/>
      <c r="C36" s="70"/>
      <c r="D36" s="32">
        <v>647</v>
      </c>
      <c r="E36" s="32" t="s">
        <v>27</v>
      </c>
      <c r="F36" s="71" t="s">
        <v>302</v>
      </c>
      <c r="G36" s="51" t="s">
        <v>303</v>
      </c>
      <c r="H36" s="87" t="s">
        <v>304</v>
      </c>
      <c r="I36" s="74"/>
      <c r="J36" s="72" t="s">
        <v>305</v>
      </c>
      <c r="K36" s="216" t="s">
        <v>165</v>
      </c>
      <c r="L36" s="216" t="s">
        <v>165</v>
      </c>
      <c r="M36" s="32" t="s">
        <v>166</v>
      </c>
      <c r="N36" s="32">
        <v>0</v>
      </c>
      <c r="O36" s="73"/>
      <c r="P36" s="82"/>
      <c r="Q36" s="13"/>
      <c r="R36" s="13"/>
      <c r="S36" s="216" t="s">
        <v>165</v>
      </c>
      <c r="T36" s="216" t="s">
        <v>165</v>
      </c>
      <c r="U36" s="5" t="s">
        <v>277</v>
      </c>
      <c r="V36" s="74"/>
      <c r="W36" s="74"/>
      <c r="X36" s="5" t="s">
        <v>165</v>
      </c>
      <c r="Y36" s="75"/>
    </row>
    <row r="37" spans="1:25" ht="120">
      <c r="A37" s="164">
        <v>36</v>
      </c>
      <c r="B37" s="75"/>
      <c r="C37" s="75"/>
      <c r="D37" s="32">
        <v>648</v>
      </c>
      <c r="E37" s="32" t="s">
        <v>175</v>
      </c>
      <c r="F37" s="71" t="s">
        <v>306</v>
      </c>
      <c r="G37" s="51" t="s">
        <v>307</v>
      </c>
      <c r="H37" s="51" t="s">
        <v>308</v>
      </c>
      <c r="I37" s="74" t="s">
        <v>309</v>
      </c>
      <c r="J37" s="72" t="s">
        <v>310</v>
      </c>
      <c r="K37" s="74" t="s">
        <v>903</v>
      </c>
      <c r="L37" s="74" t="s">
        <v>903</v>
      </c>
      <c r="M37" s="32" t="s">
        <v>58</v>
      </c>
      <c r="N37" s="32">
        <v>0</v>
      </c>
      <c r="O37" s="79"/>
      <c r="P37" s="82"/>
      <c r="Q37" s="188"/>
      <c r="R37" s="188"/>
      <c r="S37" s="74" t="s">
        <v>903</v>
      </c>
      <c r="T37" s="74" t="s">
        <v>903</v>
      </c>
      <c r="U37" s="74" t="s">
        <v>165</v>
      </c>
      <c r="V37" s="74" t="s">
        <v>898</v>
      </c>
      <c r="W37" s="14"/>
      <c r="X37" s="74" t="s">
        <v>165</v>
      </c>
      <c r="Y37" s="74" t="s">
        <v>898</v>
      </c>
    </row>
    <row r="38" spans="1:25" ht="156">
      <c r="A38" s="164">
        <v>37</v>
      </c>
      <c r="B38" s="70"/>
      <c r="C38" s="70"/>
      <c r="D38" s="32">
        <v>650</v>
      </c>
      <c r="E38" s="84" t="s">
        <v>27</v>
      </c>
      <c r="F38" s="71" t="s">
        <v>312</v>
      </c>
      <c r="G38" s="51" t="s">
        <v>313</v>
      </c>
      <c r="H38" s="51" t="s">
        <v>314</v>
      </c>
      <c r="I38" s="74"/>
      <c r="J38" s="72" t="s">
        <v>2</v>
      </c>
      <c r="K38" s="74" t="s">
        <v>165</v>
      </c>
      <c r="L38" s="309" t="s">
        <v>757</v>
      </c>
      <c r="M38" s="32" t="s">
        <v>166</v>
      </c>
      <c r="N38" s="32">
        <v>1</v>
      </c>
      <c r="O38" s="73"/>
      <c r="P38" s="82" t="s">
        <v>301</v>
      </c>
      <c r="Q38" s="13"/>
      <c r="R38" s="13"/>
      <c r="S38" s="74" t="s">
        <v>165</v>
      </c>
      <c r="T38" s="309" t="s">
        <v>757</v>
      </c>
      <c r="U38" s="74" t="s">
        <v>165</v>
      </c>
      <c r="V38" s="74"/>
      <c r="W38" s="74"/>
      <c r="X38" s="51" t="s">
        <v>315</v>
      </c>
      <c r="Y38" s="51"/>
    </row>
    <row r="39" spans="1:25" ht="144">
      <c r="A39" s="164">
        <v>38</v>
      </c>
      <c r="B39" s="70"/>
      <c r="C39" s="70"/>
      <c r="D39" s="32">
        <v>651</v>
      </c>
      <c r="E39" s="32" t="s">
        <v>150</v>
      </c>
      <c r="F39" s="71" t="s">
        <v>316</v>
      </c>
      <c r="G39" s="51" t="s">
        <v>317</v>
      </c>
      <c r="H39" s="51" t="s">
        <v>318</v>
      </c>
      <c r="I39" s="74" t="s">
        <v>319</v>
      </c>
      <c r="J39" s="72" t="s">
        <v>320</v>
      </c>
      <c r="K39" s="74" t="s">
        <v>953</v>
      </c>
      <c r="L39" s="74" t="s">
        <v>954</v>
      </c>
      <c r="M39" s="32" t="s">
        <v>166</v>
      </c>
      <c r="N39" s="32">
        <v>1</v>
      </c>
      <c r="O39" s="73"/>
      <c r="P39" s="82" t="s">
        <v>155</v>
      </c>
      <c r="Q39" s="13"/>
      <c r="R39" s="13"/>
      <c r="S39" s="74" t="s">
        <v>924</v>
      </c>
      <c r="T39" s="74" t="s">
        <v>923</v>
      </c>
      <c r="U39" s="74" t="s">
        <v>901</v>
      </c>
      <c r="V39" s="74"/>
      <c r="W39" s="74"/>
      <c r="X39" s="74" t="s">
        <v>901</v>
      </c>
      <c r="Y39" s="75"/>
    </row>
    <row r="40" spans="1:25" ht="156">
      <c r="A40" s="164">
        <v>39</v>
      </c>
      <c r="B40" s="70"/>
      <c r="C40" s="70"/>
      <c r="D40" s="32">
        <v>660</v>
      </c>
      <c r="E40" s="84" t="s">
        <v>27</v>
      </c>
      <c r="F40" s="71" t="s">
        <v>321</v>
      </c>
      <c r="G40" s="51" t="s">
        <v>322</v>
      </c>
      <c r="H40" s="51" t="s">
        <v>323</v>
      </c>
      <c r="I40" s="74"/>
      <c r="J40" s="72"/>
      <c r="K40" s="74" t="s">
        <v>165</v>
      </c>
      <c r="L40" s="309" t="s">
        <v>768</v>
      </c>
      <c r="M40" s="32" t="s">
        <v>166</v>
      </c>
      <c r="N40" s="32">
        <v>1</v>
      </c>
      <c r="O40" s="73"/>
      <c r="P40" s="82" t="s">
        <v>301</v>
      </c>
      <c r="Q40" s="13"/>
      <c r="R40" s="13"/>
      <c r="S40" s="74" t="s">
        <v>165</v>
      </c>
      <c r="T40" s="309" t="s">
        <v>768</v>
      </c>
      <c r="U40" s="74" t="s">
        <v>165</v>
      </c>
      <c r="V40" s="74"/>
      <c r="W40" s="74"/>
      <c r="X40" s="51" t="s">
        <v>324</v>
      </c>
      <c r="Y40" s="74"/>
    </row>
    <row r="41" spans="1:25" ht="96">
      <c r="A41" s="164">
        <v>40</v>
      </c>
      <c r="B41" s="70"/>
      <c r="C41" s="70"/>
      <c r="D41" s="32">
        <v>661</v>
      </c>
      <c r="E41" s="32" t="s">
        <v>27</v>
      </c>
      <c r="F41" s="71" t="s">
        <v>325</v>
      </c>
      <c r="G41" s="51" t="s">
        <v>326</v>
      </c>
      <c r="H41" s="51" t="s">
        <v>327</v>
      </c>
      <c r="I41" s="74"/>
      <c r="J41" s="72"/>
      <c r="K41" s="214" t="s">
        <v>165</v>
      </c>
      <c r="L41" s="214" t="s">
        <v>165</v>
      </c>
      <c r="M41" s="32" t="s">
        <v>166</v>
      </c>
      <c r="N41" s="32">
        <v>0</v>
      </c>
      <c r="O41" s="73"/>
      <c r="P41" s="82" t="s">
        <v>301</v>
      </c>
      <c r="Q41" s="13"/>
      <c r="R41" s="13"/>
      <c r="S41" s="214" t="s">
        <v>165</v>
      </c>
      <c r="T41" s="214" t="s">
        <v>165</v>
      </c>
      <c r="U41" s="74" t="s">
        <v>165</v>
      </c>
      <c r="V41" s="74"/>
      <c r="W41" s="74"/>
      <c r="X41" s="74" t="s">
        <v>165</v>
      </c>
      <c r="Y41" s="75"/>
    </row>
    <row r="42" spans="1:25" ht="60">
      <c r="A42" s="164">
        <v>41</v>
      </c>
      <c r="B42" s="70"/>
      <c r="C42" s="70"/>
      <c r="D42" s="32">
        <v>662</v>
      </c>
      <c r="E42" s="32" t="s">
        <v>27</v>
      </c>
      <c r="F42" s="71" t="s">
        <v>328</v>
      </c>
      <c r="G42" s="51" t="s">
        <v>329</v>
      </c>
      <c r="H42" s="51" t="s">
        <v>330</v>
      </c>
      <c r="I42" s="74"/>
      <c r="J42" s="72"/>
      <c r="K42" s="161" t="s">
        <v>148</v>
      </c>
      <c r="L42" s="214" t="s">
        <v>165</v>
      </c>
      <c r="M42" s="32" t="s">
        <v>166</v>
      </c>
      <c r="N42" s="32">
        <v>0</v>
      </c>
      <c r="O42" s="73"/>
      <c r="P42" s="82" t="s">
        <v>301</v>
      </c>
      <c r="Q42" s="13"/>
      <c r="R42" s="13"/>
      <c r="S42" s="161" t="s">
        <v>148</v>
      </c>
      <c r="T42" s="214" t="s">
        <v>165</v>
      </c>
      <c r="U42" s="74" t="s">
        <v>165</v>
      </c>
      <c r="V42" s="74"/>
      <c r="W42" s="74"/>
      <c r="X42" s="74" t="s">
        <v>165</v>
      </c>
      <c r="Y42" s="75"/>
    </row>
    <row r="43" spans="1:25" ht="156">
      <c r="A43" s="164">
        <v>42</v>
      </c>
      <c r="B43" s="70"/>
      <c r="C43" s="70"/>
      <c r="D43" s="32">
        <v>663</v>
      </c>
      <c r="E43" s="32" t="s">
        <v>27</v>
      </c>
      <c r="F43" s="71" t="s">
        <v>331</v>
      </c>
      <c r="G43" s="51" t="s">
        <v>332</v>
      </c>
      <c r="H43" s="51" t="s">
        <v>333</v>
      </c>
      <c r="I43" s="74"/>
      <c r="J43" s="72"/>
      <c r="K43" s="74" t="s">
        <v>165</v>
      </c>
      <c r="L43" s="309" t="s">
        <v>768</v>
      </c>
      <c r="M43" s="32" t="s">
        <v>166</v>
      </c>
      <c r="N43" s="32">
        <v>0</v>
      </c>
      <c r="O43" s="73"/>
      <c r="P43" s="82" t="s">
        <v>301</v>
      </c>
      <c r="Q43" s="13"/>
      <c r="R43" s="13"/>
      <c r="S43" s="74" t="s">
        <v>165</v>
      </c>
      <c r="T43" s="309" t="s">
        <v>768</v>
      </c>
      <c r="U43" s="74" t="s">
        <v>165</v>
      </c>
      <c r="V43" s="74"/>
      <c r="W43" s="74"/>
      <c r="X43" s="51" t="s">
        <v>334</v>
      </c>
      <c r="Y43" s="75"/>
    </row>
    <row r="44" spans="1:25" ht="36">
      <c r="A44" s="164">
        <v>43</v>
      </c>
      <c r="B44" s="75"/>
      <c r="C44" s="75"/>
      <c r="D44" s="32">
        <v>664</v>
      </c>
      <c r="E44" s="32">
        <v>9</v>
      </c>
      <c r="F44" s="71" t="s">
        <v>335</v>
      </c>
      <c r="G44" s="51" t="s">
        <v>336</v>
      </c>
      <c r="H44" s="51" t="s">
        <v>337</v>
      </c>
      <c r="I44" s="51" t="s">
        <v>338</v>
      </c>
      <c r="J44" s="72" t="s">
        <v>339</v>
      </c>
      <c r="K44" s="51" t="s">
        <v>340</v>
      </c>
      <c r="L44" s="51" t="s">
        <v>340</v>
      </c>
      <c r="M44" s="32" t="s">
        <v>166</v>
      </c>
      <c r="N44" s="32">
        <v>1</v>
      </c>
      <c r="O44" s="80"/>
      <c r="P44" s="82" t="s">
        <v>155</v>
      </c>
      <c r="Q44" s="13"/>
      <c r="R44" s="13"/>
      <c r="S44" s="51" t="s">
        <v>340</v>
      </c>
      <c r="T44" s="51" t="s">
        <v>340</v>
      </c>
      <c r="U44" s="51" t="s">
        <v>340</v>
      </c>
      <c r="V44" s="81"/>
      <c r="W44" s="81"/>
      <c r="X44" s="51" t="s">
        <v>340</v>
      </c>
      <c r="Y44" s="75"/>
    </row>
    <row r="45" spans="1:25" ht="108">
      <c r="A45" s="164">
        <v>44</v>
      </c>
      <c r="B45" s="70"/>
      <c r="C45" s="70"/>
      <c r="D45" s="32">
        <v>665</v>
      </c>
      <c r="E45" s="32" t="s">
        <v>167</v>
      </c>
      <c r="F45" s="71" t="s">
        <v>168</v>
      </c>
      <c r="G45" s="51" t="s">
        <v>341</v>
      </c>
      <c r="H45" s="51" t="s">
        <v>342</v>
      </c>
      <c r="I45" s="51" t="s">
        <v>338</v>
      </c>
      <c r="J45" s="72" t="s">
        <v>343</v>
      </c>
      <c r="K45" s="51" t="s">
        <v>345</v>
      </c>
      <c r="L45" s="51" t="s">
        <v>904</v>
      </c>
      <c r="M45" s="32" t="s">
        <v>166</v>
      </c>
      <c r="N45" s="32">
        <v>1</v>
      </c>
      <c r="O45" s="73"/>
      <c r="P45" s="82" t="s">
        <v>155</v>
      </c>
      <c r="Q45" s="13"/>
      <c r="R45" s="13"/>
      <c r="S45" s="51" t="s">
        <v>345</v>
      </c>
      <c r="T45" s="51" t="s">
        <v>904</v>
      </c>
      <c r="U45" s="51" t="s">
        <v>344</v>
      </c>
      <c r="V45" s="51" t="s">
        <v>345</v>
      </c>
      <c r="W45" s="51"/>
      <c r="X45" s="51" t="s">
        <v>344</v>
      </c>
      <c r="Y45" s="51"/>
    </row>
    <row r="46" spans="1:25" ht="153.75" customHeight="1">
      <c r="A46" s="164">
        <v>45</v>
      </c>
      <c r="B46" s="75"/>
      <c r="C46" s="75"/>
      <c r="D46" s="32">
        <v>670</v>
      </c>
      <c r="E46" s="32" t="s">
        <v>27</v>
      </c>
      <c r="F46" s="71" t="s">
        <v>346</v>
      </c>
      <c r="G46" s="51" t="s">
        <v>347</v>
      </c>
      <c r="H46" s="51" t="s">
        <v>348</v>
      </c>
      <c r="I46" s="74"/>
      <c r="J46" s="72"/>
      <c r="K46" s="74" t="s">
        <v>165</v>
      </c>
      <c r="L46" s="74" t="s">
        <v>165</v>
      </c>
      <c r="M46" s="32" t="s">
        <v>166</v>
      </c>
      <c r="N46" s="32">
        <v>1</v>
      </c>
      <c r="O46" s="76"/>
      <c r="P46" s="82" t="s">
        <v>301</v>
      </c>
      <c r="Q46" s="188"/>
      <c r="R46" s="188"/>
      <c r="S46" s="74" t="s">
        <v>165</v>
      </c>
      <c r="T46" s="74" t="s">
        <v>165</v>
      </c>
      <c r="U46" s="74" t="s">
        <v>165</v>
      </c>
      <c r="V46" s="14"/>
      <c r="W46" s="14"/>
      <c r="X46" s="74" t="s">
        <v>165</v>
      </c>
      <c r="Y46" s="74"/>
    </row>
    <row r="47" spans="1:25" ht="156">
      <c r="A47" s="164">
        <v>46</v>
      </c>
      <c r="B47" s="70"/>
      <c r="C47" s="70"/>
      <c r="D47" s="32">
        <v>671</v>
      </c>
      <c r="E47" s="32" t="s">
        <v>27</v>
      </c>
      <c r="F47" s="71" t="s">
        <v>349</v>
      </c>
      <c r="G47" s="51" t="s">
        <v>350</v>
      </c>
      <c r="H47" s="51" t="s">
        <v>351</v>
      </c>
      <c r="I47" s="74"/>
      <c r="J47" s="72"/>
      <c r="K47" s="74" t="s">
        <v>165</v>
      </c>
      <c r="L47" s="74" t="s">
        <v>165</v>
      </c>
      <c r="M47" s="32" t="s">
        <v>166</v>
      </c>
      <c r="N47" s="32">
        <v>0</v>
      </c>
      <c r="O47" s="73"/>
      <c r="P47" s="82" t="s">
        <v>301</v>
      </c>
      <c r="Q47" s="13"/>
      <c r="R47" s="13"/>
      <c r="S47" s="74" t="s">
        <v>165</v>
      </c>
      <c r="T47" s="74" t="s">
        <v>165</v>
      </c>
      <c r="U47" s="74" t="s">
        <v>165</v>
      </c>
      <c r="V47" s="74"/>
      <c r="W47" s="74"/>
      <c r="X47" s="74" t="s">
        <v>165</v>
      </c>
      <c r="Y47" s="75"/>
    </row>
    <row r="48" spans="1:25" ht="156">
      <c r="A48" s="164">
        <v>47</v>
      </c>
      <c r="B48" s="70"/>
      <c r="C48" s="70"/>
      <c r="D48" s="32">
        <v>672</v>
      </c>
      <c r="E48" s="32" t="s">
        <v>27</v>
      </c>
      <c r="F48" s="71" t="s">
        <v>352</v>
      </c>
      <c r="G48" s="51" t="s">
        <v>353</v>
      </c>
      <c r="H48" s="51" t="s">
        <v>354</v>
      </c>
      <c r="I48" s="74"/>
      <c r="J48" s="72"/>
      <c r="K48" s="74" t="s">
        <v>165</v>
      </c>
      <c r="L48" s="74" t="s">
        <v>165</v>
      </c>
      <c r="M48" s="32" t="s">
        <v>166</v>
      </c>
      <c r="N48" s="32">
        <v>0</v>
      </c>
      <c r="O48" s="73"/>
      <c r="P48" s="82" t="s">
        <v>301</v>
      </c>
      <c r="Q48" s="13"/>
      <c r="R48" s="13"/>
      <c r="S48" s="74" t="s">
        <v>165</v>
      </c>
      <c r="T48" s="74" t="s">
        <v>165</v>
      </c>
      <c r="U48" s="74" t="s">
        <v>165</v>
      </c>
      <c r="V48" s="74"/>
      <c r="W48" s="74"/>
      <c r="X48" s="74" t="s">
        <v>165</v>
      </c>
      <c r="Y48" s="75"/>
    </row>
    <row r="49" spans="1:25" ht="156">
      <c r="A49" s="164">
        <v>48</v>
      </c>
      <c r="B49" s="70"/>
      <c r="C49" s="70"/>
      <c r="D49" s="32">
        <v>673</v>
      </c>
      <c r="E49" s="32" t="s">
        <v>27</v>
      </c>
      <c r="F49" s="71" t="s">
        <v>355</v>
      </c>
      <c r="G49" s="51" t="s">
        <v>356</v>
      </c>
      <c r="H49" s="51" t="s">
        <v>357</v>
      </c>
      <c r="I49" s="74"/>
      <c r="J49" s="72"/>
      <c r="K49" s="74" t="s">
        <v>165</v>
      </c>
      <c r="L49" s="74" t="s">
        <v>165</v>
      </c>
      <c r="M49" s="32" t="s">
        <v>166</v>
      </c>
      <c r="N49" s="32">
        <v>0</v>
      </c>
      <c r="O49" s="73"/>
      <c r="P49" s="82" t="s">
        <v>301</v>
      </c>
      <c r="Q49" s="13"/>
      <c r="R49" s="13"/>
      <c r="S49" s="74" t="s">
        <v>165</v>
      </c>
      <c r="T49" s="74" t="s">
        <v>165</v>
      </c>
      <c r="U49" s="74" t="s">
        <v>165</v>
      </c>
      <c r="X49" s="74" t="s">
        <v>165</v>
      </c>
      <c r="Y49" s="75"/>
    </row>
    <row r="50" spans="1:25" ht="156">
      <c r="A50" s="164">
        <v>49</v>
      </c>
      <c r="B50" s="75"/>
      <c r="C50" s="75"/>
      <c r="D50" s="32">
        <v>674</v>
      </c>
      <c r="E50" s="32" t="s">
        <v>27</v>
      </c>
      <c r="F50" s="71" t="s">
        <v>358</v>
      </c>
      <c r="G50" s="51" t="s">
        <v>359</v>
      </c>
      <c r="H50" s="51" t="s">
        <v>360</v>
      </c>
      <c r="I50" s="74"/>
      <c r="J50" s="72"/>
      <c r="K50" s="74" t="s">
        <v>165</v>
      </c>
      <c r="L50" s="74" t="s">
        <v>165</v>
      </c>
      <c r="M50" s="32" t="s">
        <v>166</v>
      </c>
      <c r="N50" s="32">
        <v>0</v>
      </c>
      <c r="O50" s="79"/>
      <c r="P50" s="82" t="s">
        <v>301</v>
      </c>
      <c r="Q50" s="13"/>
      <c r="R50" s="13"/>
      <c r="S50" s="74" t="s">
        <v>165</v>
      </c>
      <c r="T50" s="74" t="s">
        <v>165</v>
      </c>
      <c r="U50" s="74" t="s">
        <v>165</v>
      </c>
      <c r="V50" s="74"/>
      <c r="W50" s="74"/>
      <c r="X50" s="74" t="s">
        <v>165</v>
      </c>
      <c r="Y50" s="75"/>
    </row>
    <row r="51" spans="1:25" ht="192">
      <c r="A51" s="164">
        <v>50</v>
      </c>
      <c r="B51" s="70"/>
      <c r="C51" s="70"/>
      <c r="D51" s="32">
        <v>675</v>
      </c>
      <c r="E51" s="32" t="s">
        <v>27</v>
      </c>
      <c r="F51" s="71" t="s">
        <v>361</v>
      </c>
      <c r="G51" s="51" t="s">
        <v>362</v>
      </c>
      <c r="H51" s="51" t="s">
        <v>363</v>
      </c>
      <c r="I51" s="74"/>
      <c r="J51" s="72"/>
      <c r="K51" s="74" t="s">
        <v>165</v>
      </c>
      <c r="L51" s="309" t="s">
        <v>790</v>
      </c>
      <c r="M51" s="32" t="s">
        <v>166</v>
      </c>
      <c r="N51" s="32">
        <v>0</v>
      </c>
      <c r="O51" s="73"/>
      <c r="P51" s="82" t="s">
        <v>301</v>
      </c>
      <c r="Q51" s="13"/>
      <c r="R51" s="13"/>
      <c r="S51" s="74" t="s">
        <v>165</v>
      </c>
      <c r="T51" s="309" t="s">
        <v>790</v>
      </c>
      <c r="U51" s="74" t="s">
        <v>165</v>
      </c>
      <c r="V51" s="74"/>
      <c r="W51" s="74"/>
      <c r="X51" s="74" t="s">
        <v>165</v>
      </c>
      <c r="Y51" s="74" t="s">
        <v>364</v>
      </c>
    </row>
    <row r="52" spans="1:25" ht="36">
      <c r="A52" s="164">
        <v>51</v>
      </c>
      <c r="B52" s="105"/>
      <c r="C52" s="105"/>
      <c r="D52" s="96">
        <v>676</v>
      </c>
      <c r="E52" s="107" t="s">
        <v>27</v>
      </c>
      <c r="F52" s="97" t="s">
        <v>365</v>
      </c>
      <c r="G52" s="109" t="s">
        <v>366</v>
      </c>
      <c r="H52" s="115" t="s">
        <v>367</v>
      </c>
      <c r="I52" s="103"/>
      <c r="J52" s="98"/>
      <c r="K52" s="98"/>
      <c r="L52" s="99"/>
      <c r="M52" s="107" t="s">
        <v>166</v>
      </c>
      <c r="N52" s="107">
        <v>0</v>
      </c>
      <c r="O52" s="99"/>
      <c r="P52" s="185"/>
      <c r="Q52" s="100"/>
      <c r="R52" s="100"/>
      <c r="S52" s="98"/>
      <c r="T52" s="99"/>
      <c r="U52" s="103"/>
      <c r="V52" s="103"/>
      <c r="W52" s="103"/>
      <c r="X52" s="103"/>
      <c r="Y52" s="104"/>
    </row>
    <row r="53" spans="1:25" ht="72">
      <c r="A53" s="164">
        <v>52</v>
      </c>
      <c r="B53" s="75"/>
      <c r="C53" s="75"/>
      <c r="D53" s="32">
        <v>677</v>
      </c>
      <c r="E53" s="32" t="s">
        <v>27</v>
      </c>
      <c r="F53" s="71" t="s">
        <v>368</v>
      </c>
      <c r="G53" s="51" t="s">
        <v>369</v>
      </c>
      <c r="H53" s="51" t="s">
        <v>370</v>
      </c>
      <c r="I53" s="74"/>
      <c r="J53" s="72"/>
      <c r="K53" s="214" t="s">
        <v>165</v>
      </c>
      <c r="L53" s="214" t="s">
        <v>165</v>
      </c>
      <c r="M53" s="32" t="s">
        <v>166</v>
      </c>
      <c r="N53" s="32">
        <v>0</v>
      </c>
      <c r="O53" s="79"/>
      <c r="P53" s="82" t="s">
        <v>301</v>
      </c>
      <c r="Q53" s="13"/>
      <c r="R53" s="13"/>
      <c r="S53" s="214" t="s">
        <v>165</v>
      </c>
      <c r="T53" s="214" t="s">
        <v>165</v>
      </c>
      <c r="U53" s="74" t="s">
        <v>165</v>
      </c>
      <c r="V53" s="74"/>
      <c r="W53" s="74"/>
      <c r="X53" s="74" t="s">
        <v>165</v>
      </c>
      <c r="Y53" s="75"/>
    </row>
    <row r="54" spans="1:25" ht="252">
      <c r="A54" s="164">
        <v>53</v>
      </c>
      <c r="B54" s="70"/>
      <c r="C54" s="70"/>
      <c r="D54" s="32">
        <v>678</v>
      </c>
      <c r="E54" s="32" t="s">
        <v>150</v>
      </c>
      <c r="F54" s="71" t="s">
        <v>371</v>
      </c>
      <c r="G54" s="51" t="s">
        <v>372</v>
      </c>
      <c r="H54" s="51" t="s">
        <v>373</v>
      </c>
      <c r="I54" s="74" t="s">
        <v>374</v>
      </c>
      <c r="J54" s="72" t="s">
        <v>375</v>
      </c>
      <c r="K54" s="408" t="s">
        <v>955</v>
      </c>
      <c r="L54" s="505" t="s">
        <v>1014</v>
      </c>
      <c r="M54" s="32" t="s">
        <v>166</v>
      </c>
      <c r="N54" s="32">
        <v>1</v>
      </c>
      <c r="O54" s="73"/>
      <c r="P54" s="82" t="s">
        <v>155</v>
      </c>
      <c r="Q54" s="13"/>
      <c r="R54" s="13"/>
      <c r="S54" s="355" t="s">
        <v>920</v>
      </c>
      <c r="T54" s="74" t="s">
        <v>919</v>
      </c>
      <c r="U54" s="74" t="s">
        <v>1011</v>
      </c>
      <c r="V54" s="74"/>
      <c r="W54" s="74"/>
      <c r="X54" s="74" t="s">
        <v>376</v>
      </c>
      <c r="Y54" s="355" t="s">
        <v>1012</v>
      </c>
    </row>
    <row r="55" spans="1:25" ht="228">
      <c r="A55" s="164">
        <v>54</v>
      </c>
      <c r="B55" s="75"/>
      <c r="C55" s="75"/>
      <c r="D55" s="32">
        <v>687</v>
      </c>
      <c r="E55" s="32" t="s">
        <v>377</v>
      </c>
      <c r="F55" s="71" t="s">
        <v>378</v>
      </c>
      <c r="G55" s="51" t="s">
        <v>379</v>
      </c>
      <c r="H55" s="51" t="s">
        <v>380</v>
      </c>
      <c r="I55" s="74" t="s">
        <v>381</v>
      </c>
      <c r="J55" s="72"/>
      <c r="K55" s="5" t="s">
        <v>382</v>
      </c>
      <c r="L55" s="505" t="s">
        <v>1015</v>
      </c>
      <c r="M55" s="32" t="s">
        <v>166</v>
      </c>
      <c r="N55" s="32">
        <v>1</v>
      </c>
      <c r="O55" s="79"/>
      <c r="P55" s="82" t="s">
        <v>155</v>
      </c>
      <c r="Q55" s="13"/>
      <c r="R55" s="13"/>
      <c r="S55" s="5" t="s">
        <v>382</v>
      </c>
      <c r="T55" s="5" t="s">
        <v>383</v>
      </c>
      <c r="U55" s="5" t="s">
        <v>382</v>
      </c>
      <c r="V55" s="74"/>
      <c r="W55" s="74"/>
      <c r="X55" s="5" t="s">
        <v>384</v>
      </c>
      <c r="Y55" s="505" t="s">
        <v>1013</v>
      </c>
    </row>
    <row r="56" spans="1:25" ht="228">
      <c r="A56" s="164">
        <v>55</v>
      </c>
      <c r="B56" s="75"/>
      <c r="C56" s="75"/>
      <c r="D56" s="32">
        <v>704</v>
      </c>
      <c r="E56" s="32" t="s">
        <v>27</v>
      </c>
      <c r="F56" s="71" t="s">
        <v>385</v>
      </c>
      <c r="G56" s="51" t="s">
        <v>386</v>
      </c>
      <c r="H56" s="51" t="s">
        <v>387</v>
      </c>
      <c r="I56" s="74" t="s">
        <v>388</v>
      </c>
      <c r="J56" s="72"/>
      <c r="K56" s="5" t="s">
        <v>389</v>
      </c>
      <c r="L56" s="505" t="s">
        <v>1016</v>
      </c>
      <c r="M56" s="32" t="s">
        <v>166</v>
      </c>
      <c r="N56" s="32">
        <v>1</v>
      </c>
      <c r="O56" s="73"/>
      <c r="P56" s="82" t="s">
        <v>155</v>
      </c>
      <c r="Q56" s="13"/>
      <c r="R56" s="13"/>
      <c r="S56" s="5" t="s">
        <v>389</v>
      </c>
      <c r="T56" s="5" t="s">
        <v>390</v>
      </c>
      <c r="U56" s="5" t="s">
        <v>389</v>
      </c>
      <c r="V56" s="74"/>
      <c r="W56" s="74"/>
      <c r="X56" s="5" t="s">
        <v>390</v>
      </c>
      <c r="Y56" s="355" t="s">
        <v>1017</v>
      </c>
    </row>
    <row r="57" spans="1:25" ht="216">
      <c r="A57" s="164">
        <v>56</v>
      </c>
      <c r="B57" s="70"/>
      <c r="C57" s="70"/>
      <c r="D57" s="32">
        <v>705</v>
      </c>
      <c r="E57" s="32" t="s">
        <v>391</v>
      </c>
      <c r="F57" s="71" t="s">
        <v>392</v>
      </c>
      <c r="G57" s="51" t="s">
        <v>393</v>
      </c>
      <c r="H57" s="51" t="s">
        <v>394</v>
      </c>
      <c r="I57" s="5" t="s">
        <v>395</v>
      </c>
      <c r="J57" s="72" t="s">
        <v>396</v>
      </c>
      <c r="K57" s="316" t="s">
        <v>905</v>
      </c>
      <c r="L57" s="317" t="s">
        <v>818</v>
      </c>
      <c r="M57" s="32" t="s">
        <v>166</v>
      </c>
      <c r="N57" s="32">
        <v>1</v>
      </c>
      <c r="O57" s="73"/>
      <c r="P57" s="82" t="s">
        <v>155</v>
      </c>
      <c r="Q57" s="13"/>
      <c r="R57" s="13"/>
      <c r="S57" s="316" t="s">
        <v>905</v>
      </c>
      <c r="T57" s="317" t="s">
        <v>818</v>
      </c>
      <c r="U57" s="5" t="s">
        <v>397</v>
      </c>
      <c r="V57" s="74" t="s">
        <v>398</v>
      </c>
      <c r="W57" s="74"/>
      <c r="X57" s="74" t="s">
        <v>399</v>
      </c>
      <c r="Y57" s="74" t="s">
        <v>400</v>
      </c>
    </row>
    <row r="58" spans="1:25" ht="123.75" customHeight="1">
      <c r="A58" s="164">
        <v>57</v>
      </c>
      <c r="B58" s="70"/>
      <c r="C58" s="70"/>
      <c r="D58" s="32">
        <v>727</v>
      </c>
      <c r="E58" s="32" t="s">
        <v>27</v>
      </c>
      <c r="F58" s="71" t="s">
        <v>401</v>
      </c>
      <c r="G58" s="51" t="s">
        <v>402</v>
      </c>
      <c r="H58" s="51" t="s">
        <v>403</v>
      </c>
      <c r="I58" s="74" t="s">
        <v>404</v>
      </c>
      <c r="J58" s="72" t="s">
        <v>405</v>
      </c>
      <c r="K58" s="5" t="s">
        <v>906</v>
      </c>
      <c r="L58" s="74" t="s">
        <v>906</v>
      </c>
      <c r="M58" s="32" t="s">
        <v>166</v>
      </c>
      <c r="N58" s="32">
        <v>1</v>
      </c>
      <c r="O58" s="73"/>
      <c r="P58" s="82" t="s">
        <v>155</v>
      </c>
      <c r="Q58" s="13"/>
      <c r="R58" s="13"/>
      <c r="S58" s="5" t="s">
        <v>906</v>
      </c>
      <c r="T58" s="74" t="s">
        <v>906</v>
      </c>
      <c r="U58" s="74" t="s">
        <v>902</v>
      </c>
      <c r="V58" s="74"/>
      <c r="W58" s="74"/>
      <c r="X58" s="74" t="s">
        <v>902</v>
      </c>
      <c r="Y58" s="74"/>
    </row>
    <row r="59" spans="1:25" ht="24">
      <c r="A59" s="164">
        <v>58</v>
      </c>
      <c r="B59" s="70"/>
      <c r="C59" s="70"/>
      <c r="D59" s="32">
        <v>728</v>
      </c>
      <c r="E59" s="32" t="s">
        <v>150</v>
      </c>
      <c r="F59" s="71" t="s">
        <v>406</v>
      </c>
      <c r="G59" s="51" t="s">
        <v>407</v>
      </c>
      <c r="H59" s="51" t="s">
        <v>408</v>
      </c>
      <c r="I59" s="74"/>
      <c r="J59" s="72"/>
      <c r="K59" s="216" t="s">
        <v>165</v>
      </c>
      <c r="L59" s="216" t="s">
        <v>165</v>
      </c>
      <c r="M59" s="32" t="s">
        <v>166</v>
      </c>
      <c r="N59" s="32">
        <v>0</v>
      </c>
      <c r="O59" s="73"/>
      <c r="P59" s="82" t="s">
        <v>155</v>
      </c>
      <c r="Q59" s="13"/>
      <c r="R59" s="13"/>
      <c r="S59" s="216" t="s">
        <v>165</v>
      </c>
      <c r="T59" s="216" t="s">
        <v>165</v>
      </c>
      <c r="U59" s="5" t="s">
        <v>165</v>
      </c>
      <c r="V59" s="74"/>
      <c r="W59" s="74"/>
      <c r="X59" s="5" t="s">
        <v>165</v>
      </c>
      <c r="Y59" s="75"/>
    </row>
    <row r="60" spans="1:25" ht="48">
      <c r="A60" s="164">
        <v>59</v>
      </c>
      <c r="B60" s="70"/>
      <c r="C60" s="70"/>
      <c r="D60" s="32">
        <v>737</v>
      </c>
      <c r="E60" s="32" t="s">
        <v>150</v>
      </c>
      <c r="F60" s="71" t="s">
        <v>409</v>
      </c>
      <c r="G60" s="51" t="s">
        <v>410</v>
      </c>
      <c r="H60" s="51" t="s">
        <v>411</v>
      </c>
      <c r="I60" s="74" t="s">
        <v>412</v>
      </c>
      <c r="J60" s="72" t="s">
        <v>413</v>
      </c>
      <c r="K60" s="408" t="s">
        <v>917</v>
      </c>
      <c r="L60" s="408" t="s">
        <v>917</v>
      </c>
      <c r="M60" s="32" t="s">
        <v>166</v>
      </c>
      <c r="N60" s="32">
        <v>1</v>
      </c>
      <c r="O60" s="73"/>
      <c r="P60" s="82" t="s">
        <v>155</v>
      </c>
      <c r="Q60" s="13"/>
      <c r="R60" s="13"/>
      <c r="S60" s="332" t="s">
        <v>917</v>
      </c>
      <c r="T60" s="332" t="s">
        <v>917</v>
      </c>
      <c r="U60" s="74" t="s">
        <v>414</v>
      </c>
      <c r="V60" s="74"/>
      <c r="W60" s="74"/>
      <c r="X60" s="74" t="s">
        <v>414</v>
      </c>
      <c r="Y60" s="74"/>
    </row>
    <row r="61" spans="1:25" ht="60">
      <c r="A61" s="164">
        <v>60</v>
      </c>
      <c r="B61" s="70"/>
      <c r="C61" s="70"/>
      <c r="D61" s="32">
        <v>746</v>
      </c>
      <c r="E61" s="32" t="s">
        <v>27</v>
      </c>
      <c r="F61" s="71" t="s">
        <v>415</v>
      </c>
      <c r="G61" s="51" t="s">
        <v>416</v>
      </c>
      <c r="H61" s="51" t="s">
        <v>417</v>
      </c>
      <c r="I61" s="74" t="s">
        <v>2</v>
      </c>
      <c r="J61" s="72"/>
      <c r="K61" s="74" t="s">
        <v>418</v>
      </c>
      <c r="L61" s="74" t="s">
        <v>418</v>
      </c>
      <c r="M61" s="32" t="s">
        <v>52</v>
      </c>
      <c r="N61" s="32">
        <v>1</v>
      </c>
      <c r="O61" s="73"/>
      <c r="P61" s="82" t="s">
        <v>155</v>
      </c>
      <c r="Q61" s="13"/>
      <c r="R61" s="13"/>
      <c r="S61" s="74" t="s">
        <v>418</v>
      </c>
      <c r="T61" s="74" t="s">
        <v>418</v>
      </c>
      <c r="U61" s="74" t="s">
        <v>418</v>
      </c>
      <c r="V61" s="74" t="s">
        <v>419</v>
      </c>
      <c r="W61" s="74"/>
      <c r="X61" s="74" t="s">
        <v>418</v>
      </c>
      <c r="Y61" s="75" t="s">
        <v>419</v>
      </c>
    </row>
    <row r="62" spans="1:25" ht="96">
      <c r="A62" s="164">
        <v>61</v>
      </c>
      <c r="B62" s="70"/>
      <c r="C62" s="70"/>
      <c r="D62" s="32">
        <v>747</v>
      </c>
      <c r="E62" s="32">
        <v>9</v>
      </c>
      <c r="F62" s="71" t="s">
        <v>420</v>
      </c>
      <c r="G62" s="51" t="s">
        <v>421</v>
      </c>
      <c r="H62" s="51" t="s">
        <v>422</v>
      </c>
      <c r="I62" s="74"/>
      <c r="J62" s="72" t="s">
        <v>423</v>
      </c>
      <c r="K62" s="5" t="s">
        <v>165</v>
      </c>
      <c r="L62" s="5" t="s">
        <v>165</v>
      </c>
      <c r="M62" s="32" t="s">
        <v>52</v>
      </c>
      <c r="N62" s="32">
        <v>1</v>
      </c>
      <c r="O62" s="73"/>
      <c r="P62" s="82" t="s">
        <v>155</v>
      </c>
      <c r="Q62" s="13"/>
      <c r="R62" s="13"/>
      <c r="S62" s="5" t="s">
        <v>165</v>
      </c>
      <c r="T62" s="5" t="s">
        <v>165</v>
      </c>
      <c r="U62" s="5" t="s">
        <v>424</v>
      </c>
      <c r="V62" s="74" t="s">
        <v>419</v>
      </c>
      <c r="W62" s="74"/>
      <c r="X62" s="5" t="s">
        <v>424</v>
      </c>
      <c r="Y62" s="74" t="s">
        <v>419</v>
      </c>
    </row>
    <row r="63" spans="1:25" ht="132">
      <c r="A63" s="164">
        <v>62</v>
      </c>
      <c r="B63" s="70"/>
      <c r="C63" s="70"/>
      <c r="D63" s="32">
        <v>748</v>
      </c>
      <c r="E63" s="32" t="s">
        <v>27</v>
      </c>
      <c r="F63" s="71" t="s">
        <v>425</v>
      </c>
      <c r="G63" s="51" t="s">
        <v>426</v>
      </c>
      <c r="H63" s="51" t="s">
        <v>427</v>
      </c>
      <c r="I63" s="74"/>
      <c r="J63" s="94"/>
      <c r="K63" s="216" t="s">
        <v>165</v>
      </c>
      <c r="L63" s="216" t="s">
        <v>165</v>
      </c>
      <c r="M63" s="32" t="s">
        <v>166</v>
      </c>
      <c r="N63" s="32">
        <v>0</v>
      </c>
      <c r="O63" s="73"/>
      <c r="P63" s="82" t="s">
        <v>301</v>
      </c>
      <c r="Q63" s="13"/>
      <c r="R63" s="13"/>
      <c r="S63" s="216" t="s">
        <v>165</v>
      </c>
      <c r="T63" s="216" t="s">
        <v>165</v>
      </c>
      <c r="U63" s="5" t="s">
        <v>165</v>
      </c>
      <c r="V63" s="74"/>
      <c r="W63" s="74"/>
      <c r="X63" s="5" t="s">
        <v>165</v>
      </c>
      <c r="Y63" s="75"/>
    </row>
    <row r="64" spans="1:25" ht="29.25" customHeight="1">
      <c r="A64" s="164">
        <v>63</v>
      </c>
      <c r="B64" s="409"/>
      <c r="C64" s="409"/>
      <c r="D64" s="410">
        <v>749</v>
      </c>
      <c r="E64" s="410" t="s">
        <v>428</v>
      </c>
      <c r="F64" s="411"/>
      <c r="G64" s="217" t="s">
        <v>429</v>
      </c>
      <c r="H64" s="217"/>
      <c r="I64" s="214"/>
      <c r="J64" s="412"/>
      <c r="K64" s="216" t="s">
        <v>956</v>
      </c>
      <c r="L64" s="216" t="s">
        <v>956</v>
      </c>
      <c r="M64" s="410"/>
      <c r="N64" s="410">
        <v>0</v>
      </c>
      <c r="O64" s="413"/>
      <c r="P64" s="414"/>
      <c r="Q64" s="415"/>
      <c r="R64" s="415"/>
      <c r="S64" s="216" t="s">
        <v>916</v>
      </c>
      <c r="T64" s="216" t="s">
        <v>916</v>
      </c>
      <c r="U64" s="216" t="s">
        <v>956</v>
      </c>
      <c r="V64" s="214"/>
      <c r="W64" s="214"/>
      <c r="X64" s="216" t="s">
        <v>956</v>
      </c>
      <c r="Y64" s="409"/>
    </row>
    <row r="65" spans="1:25" ht="48.75" customHeight="1">
      <c r="A65" s="331">
        <v>64</v>
      </c>
      <c r="B65" s="75"/>
      <c r="C65" s="75"/>
      <c r="D65" s="32">
        <v>749</v>
      </c>
      <c r="E65" s="32" t="s">
        <v>430</v>
      </c>
      <c r="F65" s="71"/>
      <c r="G65" s="51" t="s">
        <v>431</v>
      </c>
      <c r="H65" s="51" t="s">
        <v>432</v>
      </c>
      <c r="I65" s="74"/>
      <c r="J65" s="72" t="s">
        <v>897</v>
      </c>
      <c r="K65" s="216" t="s">
        <v>165</v>
      </c>
      <c r="L65" s="216" t="s">
        <v>165</v>
      </c>
      <c r="M65" s="32" t="s">
        <v>166</v>
      </c>
      <c r="N65" s="32">
        <v>1</v>
      </c>
      <c r="O65" s="79"/>
      <c r="P65" s="82" t="s">
        <v>155</v>
      </c>
      <c r="Q65" s="13"/>
      <c r="R65" s="13"/>
      <c r="S65" s="216" t="s">
        <v>165</v>
      </c>
      <c r="T65" s="216" t="s">
        <v>165</v>
      </c>
      <c r="U65" s="5" t="s">
        <v>165</v>
      </c>
      <c r="V65" s="74" t="s">
        <v>433</v>
      </c>
      <c r="W65" s="74"/>
      <c r="X65" s="5" t="s">
        <v>165</v>
      </c>
      <c r="Y65" s="74" t="s">
        <v>433</v>
      </c>
    </row>
    <row r="66" spans="1:25" ht="48">
      <c r="A66" s="331">
        <v>65</v>
      </c>
      <c r="B66" s="75"/>
      <c r="C66" s="75"/>
      <c r="D66" s="82">
        <v>752</v>
      </c>
      <c r="E66" s="82" t="s">
        <v>282</v>
      </c>
      <c r="F66" s="71"/>
      <c r="G66" s="51" t="s">
        <v>434</v>
      </c>
      <c r="H66" s="51" t="s">
        <v>435</v>
      </c>
      <c r="I66" s="74"/>
      <c r="J66" s="72" t="s">
        <v>897</v>
      </c>
      <c r="K66" s="216" t="s">
        <v>165</v>
      </c>
      <c r="L66" s="216" t="s">
        <v>165</v>
      </c>
      <c r="M66" s="32" t="s">
        <v>166</v>
      </c>
      <c r="N66" s="32">
        <v>1</v>
      </c>
      <c r="O66" s="79"/>
      <c r="P66" s="82" t="s">
        <v>155</v>
      </c>
      <c r="Q66" s="13"/>
      <c r="R66" s="13"/>
      <c r="S66" s="216" t="s">
        <v>165</v>
      </c>
      <c r="T66" s="216" t="s">
        <v>165</v>
      </c>
      <c r="U66" s="5" t="s">
        <v>165</v>
      </c>
      <c r="V66" s="74" t="s">
        <v>436</v>
      </c>
      <c r="W66" s="74"/>
      <c r="X66" s="5" t="s">
        <v>165</v>
      </c>
      <c r="Y66" s="74" t="s">
        <v>436</v>
      </c>
    </row>
    <row r="67" spans="1:25" ht="108">
      <c r="A67" s="164">
        <v>66</v>
      </c>
      <c r="B67" s="70"/>
      <c r="C67" s="70"/>
      <c r="D67" s="32">
        <v>761</v>
      </c>
      <c r="E67" s="32" t="s">
        <v>27</v>
      </c>
      <c r="F67" s="71" t="s">
        <v>437</v>
      </c>
      <c r="G67" s="51" t="s">
        <v>438</v>
      </c>
      <c r="H67" s="51" t="s">
        <v>439</v>
      </c>
      <c r="I67" s="74"/>
      <c r="J67" s="72"/>
      <c r="K67" s="216" t="s">
        <v>165</v>
      </c>
      <c r="L67" s="216" t="s">
        <v>165</v>
      </c>
      <c r="M67" s="32" t="s">
        <v>166</v>
      </c>
      <c r="N67" s="32">
        <v>0</v>
      </c>
      <c r="O67" s="73"/>
      <c r="P67" s="82" t="s">
        <v>301</v>
      </c>
      <c r="Q67" s="13"/>
      <c r="R67" s="13"/>
      <c r="S67" s="216" t="s">
        <v>165</v>
      </c>
      <c r="T67" s="216" t="s">
        <v>165</v>
      </c>
      <c r="U67" s="5" t="s">
        <v>165</v>
      </c>
      <c r="V67" s="74"/>
      <c r="W67" s="74"/>
      <c r="X67" s="5" t="s">
        <v>165</v>
      </c>
      <c r="Y67" s="75"/>
    </row>
    <row r="68" spans="1:25" ht="24">
      <c r="A68" s="164">
        <v>67</v>
      </c>
      <c r="B68" s="75"/>
      <c r="C68" s="75"/>
      <c r="D68" s="82">
        <v>762</v>
      </c>
      <c r="E68" s="82" t="s">
        <v>440</v>
      </c>
      <c r="F68" s="71" t="s">
        <v>441</v>
      </c>
      <c r="G68" s="51" t="s">
        <v>442</v>
      </c>
      <c r="H68" s="51" t="s">
        <v>443</v>
      </c>
      <c r="I68" s="74"/>
      <c r="J68" s="72"/>
      <c r="K68" s="216" t="s">
        <v>165</v>
      </c>
      <c r="L68" s="216" t="s">
        <v>165</v>
      </c>
      <c r="M68" s="32" t="s">
        <v>166</v>
      </c>
      <c r="N68" s="32">
        <v>0</v>
      </c>
      <c r="O68" s="79"/>
      <c r="P68" s="82" t="s">
        <v>155</v>
      </c>
      <c r="Q68" s="13"/>
      <c r="R68" s="13"/>
      <c r="S68" s="216" t="s">
        <v>165</v>
      </c>
      <c r="T68" s="216" t="s">
        <v>165</v>
      </c>
      <c r="U68" s="5" t="s">
        <v>165</v>
      </c>
      <c r="V68" s="74"/>
      <c r="W68" s="74"/>
      <c r="X68" s="5" t="s">
        <v>165</v>
      </c>
      <c r="Y68" s="75"/>
    </row>
    <row r="69" spans="1:25" ht="48">
      <c r="A69" s="164">
        <v>68</v>
      </c>
      <c r="B69" s="75"/>
      <c r="C69" s="75"/>
      <c r="D69" s="82">
        <v>777</v>
      </c>
      <c r="E69" s="82" t="s">
        <v>444</v>
      </c>
      <c r="F69" s="71" t="s">
        <v>445</v>
      </c>
      <c r="G69" s="51" t="s">
        <v>446</v>
      </c>
      <c r="H69" s="51" t="s">
        <v>447</v>
      </c>
      <c r="I69" s="74"/>
      <c r="J69" s="72" t="s">
        <v>448</v>
      </c>
      <c r="K69" s="216" t="s">
        <v>165</v>
      </c>
      <c r="L69" s="216" t="s">
        <v>165</v>
      </c>
      <c r="M69" s="32"/>
      <c r="N69" s="32">
        <v>0</v>
      </c>
      <c r="O69" s="79"/>
      <c r="P69" s="82" t="s">
        <v>155</v>
      </c>
      <c r="Q69" s="13"/>
      <c r="R69" s="13"/>
      <c r="S69" s="216" t="s">
        <v>165</v>
      </c>
      <c r="T69" s="216" t="s">
        <v>165</v>
      </c>
      <c r="U69" s="5" t="s">
        <v>165</v>
      </c>
      <c r="V69" s="74"/>
      <c r="W69" s="74"/>
      <c r="X69" s="5" t="s">
        <v>165</v>
      </c>
      <c r="Y69" s="75"/>
    </row>
    <row r="70" spans="1:25" ht="24">
      <c r="A70" s="164">
        <v>69</v>
      </c>
      <c r="B70" s="105"/>
      <c r="C70" s="105"/>
      <c r="D70" s="107">
        <v>781</v>
      </c>
      <c r="E70" s="107" t="s">
        <v>27</v>
      </c>
      <c r="F70" s="97"/>
      <c r="G70" s="110" t="s">
        <v>449</v>
      </c>
      <c r="H70" s="110" t="s">
        <v>164</v>
      </c>
      <c r="I70" s="103"/>
      <c r="J70" s="98"/>
      <c r="K70" s="116" t="s">
        <v>247</v>
      </c>
      <c r="L70" s="116" t="s">
        <v>165</v>
      </c>
      <c r="M70" s="153" t="s">
        <v>166</v>
      </c>
      <c r="N70" s="153">
        <v>0</v>
      </c>
      <c r="O70" s="99"/>
      <c r="P70" s="185"/>
      <c r="Q70" s="100"/>
      <c r="R70" s="100"/>
      <c r="S70" s="116" t="s">
        <v>247</v>
      </c>
      <c r="T70" s="116" t="s">
        <v>165</v>
      </c>
      <c r="U70" s="116" t="s">
        <v>165</v>
      </c>
      <c r="V70" s="103"/>
      <c r="W70" s="103"/>
      <c r="X70" s="116" t="s">
        <v>165</v>
      </c>
      <c r="Y70" s="104"/>
    </row>
    <row r="71" spans="1:25" ht="24">
      <c r="A71" s="164">
        <v>70</v>
      </c>
      <c r="B71" s="105"/>
      <c r="C71" s="105"/>
      <c r="D71" s="107">
        <v>782</v>
      </c>
      <c r="E71" s="107" t="s">
        <v>27</v>
      </c>
      <c r="F71" s="97"/>
      <c r="G71" s="110" t="s">
        <v>450</v>
      </c>
      <c r="H71" s="110" t="s">
        <v>164</v>
      </c>
      <c r="I71" s="103"/>
      <c r="J71" s="98"/>
      <c r="K71" s="116" t="s">
        <v>247</v>
      </c>
      <c r="L71" s="116" t="s">
        <v>165</v>
      </c>
      <c r="M71" s="153" t="s">
        <v>166</v>
      </c>
      <c r="N71" s="153">
        <v>0</v>
      </c>
      <c r="O71" s="99"/>
      <c r="P71" s="185"/>
      <c r="Q71" s="100"/>
      <c r="R71" s="100"/>
      <c r="S71" s="116" t="s">
        <v>247</v>
      </c>
      <c r="T71" s="116" t="s">
        <v>165</v>
      </c>
      <c r="U71" s="116" t="s">
        <v>165</v>
      </c>
      <c r="V71" s="103"/>
      <c r="W71" s="103"/>
      <c r="X71" s="116" t="s">
        <v>165</v>
      </c>
      <c r="Y71" s="104"/>
    </row>
    <row r="72" spans="1:25" ht="120">
      <c r="A72" s="164">
        <v>71</v>
      </c>
      <c r="B72" s="105"/>
      <c r="C72" s="105"/>
      <c r="D72" s="107">
        <v>783</v>
      </c>
      <c r="E72" s="107" t="s">
        <v>265</v>
      </c>
      <c r="F72" s="97"/>
      <c r="G72" s="109" t="s">
        <v>451</v>
      </c>
      <c r="H72" s="117" t="s">
        <v>452</v>
      </c>
      <c r="I72" s="99"/>
      <c r="J72" s="222"/>
      <c r="K72" s="129" t="s">
        <v>165</v>
      </c>
      <c r="L72" s="129" t="s">
        <v>165</v>
      </c>
      <c r="M72" s="107" t="s">
        <v>166</v>
      </c>
      <c r="N72" s="107">
        <v>0</v>
      </c>
      <c r="O72" s="185"/>
      <c r="P72" s="181"/>
      <c r="Q72" s="103"/>
      <c r="R72" s="103"/>
      <c r="S72" s="129" t="s">
        <v>165</v>
      </c>
      <c r="T72" s="129" t="s">
        <v>165</v>
      </c>
      <c r="U72" s="129" t="s">
        <v>165</v>
      </c>
      <c r="V72" s="104"/>
      <c r="W72" s="104"/>
      <c r="X72" s="129" t="s">
        <v>165</v>
      </c>
      <c r="Y72" s="101"/>
    </row>
    <row r="73" spans="1:25" ht="120">
      <c r="A73" s="164">
        <v>72</v>
      </c>
      <c r="B73" s="105"/>
      <c r="C73" s="105"/>
      <c r="D73" s="107">
        <v>807</v>
      </c>
      <c r="E73" s="107" t="s">
        <v>265</v>
      </c>
      <c r="F73" s="97"/>
      <c r="G73" s="109" t="s">
        <v>453</v>
      </c>
      <c r="H73" s="117" t="s">
        <v>452</v>
      </c>
      <c r="I73" s="99"/>
      <c r="J73" s="222"/>
      <c r="K73" s="129" t="s">
        <v>165</v>
      </c>
      <c r="L73" s="129" t="s">
        <v>165</v>
      </c>
      <c r="M73" s="107" t="s">
        <v>166</v>
      </c>
      <c r="N73" s="107">
        <v>0</v>
      </c>
      <c r="O73" s="185"/>
      <c r="P73" s="181"/>
      <c r="Q73" s="103"/>
      <c r="R73" s="103"/>
      <c r="S73" s="129" t="s">
        <v>165</v>
      </c>
      <c r="T73" s="129" t="s">
        <v>165</v>
      </c>
      <c r="U73" s="129" t="s">
        <v>165</v>
      </c>
      <c r="V73" s="104"/>
      <c r="W73" s="104"/>
      <c r="X73" s="129" t="s">
        <v>165</v>
      </c>
      <c r="Y73" s="101"/>
    </row>
    <row r="74" spans="1:25" ht="24">
      <c r="A74" s="164">
        <v>73</v>
      </c>
      <c r="B74" s="105"/>
      <c r="C74" s="105"/>
      <c r="D74" s="107">
        <v>831</v>
      </c>
      <c r="E74" s="107" t="s">
        <v>454</v>
      </c>
      <c r="F74" s="97"/>
      <c r="G74" s="144" t="s">
        <v>455</v>
      </c>
      <c r="H74" s="109" t="s">
        <v>456</v>
      </c>
      <c r="I74" s="103"/>
      <c r="J74" s="98"/>
      <c r="K74" s="116" t="s">
        <v>457</v>
      </c>
      <c r="L74" s="116" t="s">
        <v>290</v>
      </c>
      <c r="M74" s="107" t="s">
        <v>58</v>
      </c>
      <c r="N74" s="107">
        <v>0</v>
      </c>
      <c r="O74" s="99"/>
      <c r="P74" s="185"/>
      <c r="Q74" s="100"/>
      <c r="R74" s="100"/>
      <c r="S74" s="116" t="s">
        <v>457</v>
      </c>
      <c r="T74" s="116" t="s">
        <v>290</v>
      </c>
      <c r="U74" s="116" t="s">
        <v>290</v>
      </c>
      <c r="V74" s="103" t="s">
        <v>458</v>
      </c>
      <c r="W74" s="103"/>
      <c r="X74" s="116" t="s">
        <v>290</v>
      </c>
      <c r="Y74" s="103" t="s">
        <v>458</v>
      </c>
    </row>
    <row r="75" spans="1:25" ht="48">
      <c r="A75" s="164">
        <v>74</v>
      </c>
      <c r="B75" s="105"/>
      <c r="C75" s="105"/>
      <c r="D75" s="107">
        <v>839</v>
      </c>
      <c r="E75" s="107" t="s">
        <v>454</v>
      </c>
      <c r="F75" s="97"/>
      <c r="G75" s="144" t="s">
        <v>459</v>
      </c>
      <c r="H75" s="109" t="s">
        <v>460</v>
      </c>
      <c r="I75" s="103"/>
      <c r="J75" s="98"/>
      <c r="K75" s="116" t="s">
        <v>290</v>
      </c>
      <c r="L75" s="116" t="s">
        <v>290</v>
      </c>
      <c r="M75" s="107" t="s">
        <v>58</v>
      </c>
      <c r="N75" s="107">
        <v>0</v>
      </c>
      <c r="O75" s="99"/>
      <c r="P75" s="185"/>
      <c r="Q75" s="100"/>
      <c r="R75" s="100"/>
      <c r="S75" s="116" t="s">
        <v>290</v>
      </c>
      <c r="T75" s="116" t="s">
        <v>290</v>
      </c>
      <c r="U75" s="116" t="s">
        <v>290</v>
      </c>
      <c r="V75" s="103"/>
      <c r="W75" s="103"/>
      <c r="X75" s="116" t="s">
        <v>290</v>
      </c>
      <c r="Y75" s="104"/>
    </row>
    <row r="76" spans="1:25" ht="216">
      <c r="A76" s="164">
        <v>75</v>
      </c>
      <c r="B76" s="70"/>
      <c r="C76" s="70"/>
      <c r="D76" s="32">
        <v>847</v>
      </c>
      <c r="E76" s="32" t="s">
        <v>461</v>
      </c>
      <c r="F76" s="71" t="s">
        <v>462</v>
      </c>
      <c r="G76" s="51" t="s">
        <v>463</v>
      </c>
      <c r="H76" s="51" t="s">
        <v>464</v>
      </c>
      <c r="I76" s="5" t="s">
        <v>465</v>
      </c>
      <c r="J76" s="72" t="s">
        <v>466</v>
      </c>
      <c r="K76" s="316" t="s">
        <v>856</v>
      </c>
      <c r="L76" s="317" t="s">
        <v>857</v>
      </c>
      <c r="M76" s="32" t="s">
        <v>166</v>
      </c>
      <c r="N76" s="32">
        <v>1</v>
      </c>
      <c r="O76" s="73"/>
      <c r="P76" s="82" t="s">
        <v>155</v>
      </c>
      <c r="Q76" s="13"/>
      <c r="R76" s="13"/>
      <c r="S76" s="316" t="s">
        <v>856</v>
      </c>
      <c r="T76" s="317" t="s">
        <v>857</v>
      </c>
      <c r="U76" s="5" t="s">
        <v>467</v>
      </c>
      <c r="V76" s="74" t="s">
        <v>468</v>
      </c>
      <c r="W76" s="74"/>
      <c r="X76" s="5" t="s">
        <v>467</v>
      </c>
      <c r="Y76" s="74" t="s">
        <v>468</v>
      </c>
    </row>
    <row r="77" spans="1:25" ht="276">
      <c r="A77" s="164">
        <v>76</v>
      </c>
      <c r="B77" s="75"/>
      <c r="C77" s="75"/>
      <c r="D77" s="32">
        <v>848</v>
      </c>
      <c r="E77" s="32" t="s">
        <v>461</v>
      </c>
      <c r="F77" s="71" t="s">
        <v>469</v>
      </c>
      <c r="G77" s="51" t="s">
        <v>470</v>
      </c>
      <c r="H77" s="51" t="s">
        <v>471</v>
      </c>
      <c r="I77" s="5" t="s">
        <v>472</v>
      </c>
      <c r="J77" s="72" t="s">
        <v>473</v>
      </c>
      <c r="K77" s="316" t="s">
        <v>864</v>
      </c>
      <c r="L77" s="317" t="s">
        <v>865</v>
      </c>
      <c r="M77" s="32" t="s">
        <v>166</v>
      </c>
      <c r="N77" s="32">
        <v>1</v>
      </c>
      <c r="O77" s="77"/>
      <c r="P77" s="82" t="s">
        <v>155</v>
      </c>
      <c r="Q77" s="13"/>
      <c r="R77" s="13"/>
      <c r="S77" s="316" t="s">
        <v>864</v>
      </c>
      <c r="T77" s="317" t="s">
        <v>865</v>
      </c>
      <c r="U77" s="5" t="s">
        <v>475</v>
      </c>
      <c r="V77" s="119" t="s">
        <v>476</v>
      </c>
      <c r="W77" s="119"/>
      <c r="X77" s="5" t="s">
        <v>475</v>
      </c>
      <c r="Y77" s="5" t="s">
        <v>474</v>
      </c>
    </row>
    <row r="78" spans="1:25" ht="276">
      <c r="A78" s="164">
        <v>77</v>
      </c>
      <c r="B78" s="70"/>
      <c r="C78" s="70"/>
      <c r="D78" s="32">
        <v>849</v>
      </c>
      <c r="E78" s="32" t="s">
        <v>461</v>
      </c>
      <c r="F78" s="42" t="s">
        <v>477</v>
      </c>
      <c r="G78" s="51" t="s">
        <v>478</v>
      </c>
      <c r="H78" s="51" t="s">
        <v>479</v>
      </c>
      <c r="I78" s="74" t="s">
        <v>480</v>
      </c>
      <c r="J78" s="72" t="s">
        <v>481</v>
      </c>
      <c r="K78" s="333" t="s">
        <v>907</v>
      </c>
      <c r="L78" s="334" t="s">
        <v>907</v>
      </c>
      <c r="M78" s="32"/>
      <c r="N78" s="32">
        <v>1</v>
      </c>
      <c r="O78" s="73"/>
      <c r="P78" s="82" t="s">
        <v>155</v>
      </c>
      <c r="Q78" s="13"/>
      <c r="R78" s="13"/>
      <c r="S78" s="333" t="s">
        <v>907</v>
      </c>
      <c r="T78" s="334" t="s">
        <v>907</v>
      </c>
      <c r="U78" s="5" t="s">
        <v>482</v>
      </c>
      <c r="V78" s="74"/>
      <c r="W78" s="74"/>
      <c r="X78" s="5" t="s">
        <v>482</v>
      </c>
      <c r="Y78" s="75"/>
    </row>
    <row r="79" spans="1:25" ht="180">
      <c r="A79" s="164">
        <v>78</v>
      </c>
      <c r="B79" s="70"/>
      <c r="C79" s="70"/>
      <c r="D79" s="32">
        <v>850</v>
      </c>
      <c r="E79" s="32" t="s">
        <v>461</v>
      </c>
      <c r="F79" s="71" t="s">
        <v>483</v>
      </c>
      <c r="G79" s="51" t="s">
        <v>484</v>
      </c>
      <c r="H79" s="51" t="s">
        <v>485</v>
      </c>
      <c r="I79" s="74"/>
      <c r="J79" s="72" t="s">
        <v>486</v>
      </c>
      <c r="K79" s="214" t="s">
        <v>165</v>
      </c>
      <c r="L79" s="214" t="s">
        <v>487</v>
      </c>
      <c r="M79" s="32"/>
      <c r="N79" s="32">
        <v>0</v>
      </c>
      <c r="O79" s="73"/>
      <c r="P79" s="82" t="s">
        <v>155</v>
      </c>
      <c r="Q79" s="13"/>
      <c r="R79" s="13"/>
      <c r="S79" s="214" t="s">
        <v>165</v>
      </c>
      <c r="T79" s="214" t="s">
        <v>487</v>
      </c>
      <c r="U79" s="74" t="s">
        <v>165</v>
      </c>
      <c r="V79" s="51"/>
      <c r="W79" s="51"/>
      <c r="X79" s="74" t="s">
        <v>165</v>
      </c>
      <c r="Y79" s="75"/>
    </row>
    <row r="80" spans="1:25">
      <c r="A80" s="164">
        <v>79</v>
      </c>
      <c r="B80" s="105"/>
      <c r="C80" s="105"/>
      <c r="D80" s="107">
        <v>851</v>
      </c>
      <c r="E80" s="107" t="s">
        <v>27</v>
      </c>
      <c r="F80" s="97"/>
      <c r="G80" s="110" t="s">
        <v>488</v>
      </c>
      <c r="H80" s="109" t="s">
        <v>164</v>
      </c>
      <c r="I80" s="103"/>
      <c r="J80" s="98"/>
      <c r="K80" s="215" t="s">
        <v>165</v>
      </c>
      <c r="L80" s="215" t="s">
        <v>165</v>
      </c>
      <c r="M80" s="146"/>
      <c r="N80" s="153">
        <v>0</v>
      </c>
      <c r="O80" s="99"/>
      <c r="P80" s="185"/>
      <c r="Q80" s="100"/>
      <c r="R80" s="100"/>
      <c r="S80" s="215" t="s">
        <v>165</v>
      </c>
      <c r="T80" s="215" t="s">
        <v>165</v>
      </c>
      <c r="U80" s="103" t="s">
        <v>165</v>
      </c>
      <c r="V80" s="109"/>
      <c r="W80" s="109"/>
      <c r="X80" s="103" t="s">
        <v>165</v>
      </c>
      <c r="Y80" s="104"/>
    </row>
    <row r="81" spans="1:25" ht="24">
      <c r="A81" s="164">
        <v>80</v>
      </c>
      <c r="B81" s="105"/>
      <c r="C81" s="105"/>
      <c r="D81" s="107">
        <v>852</v>
      </c>
      <c r="E81" s="107" t="s">
        <v>167</v>
      </c>
      <c r="F81" s="97"/>
      <c r="G81" s="109" t="s">
        <v>489</v>
      </c>
      <c r="H81" s="109" t="s">
        <v>490</v>
      </c>
      <c r="I81" s="99"/>
      <c r="J81" s="222"/>
      <c r="K81" s="215" t="s">
        <v>165</v>
      </c>
      <c r="L81" s="215" t="s">
        <v>165</v>
      </c>
      <c r="M81" s="103"/>
      <c r="N81" s="181">
        <v>0</v>
      </c>
      <c r="O81" s="103"/>
      <c r="P81" s="181"/>
      <c r="Q81" s="103"/>
      <c r="R81" s="103"/>
      <c r="S81" s="215" t="s">
        <v>165</v>
      </c>
      <c r="T81" s="215" t="s">
        <v>165</v>
      </c>
      <c r="U81" s="104" t="s">
        <v>165</v>
      </c>
      <c r="V81" s="104"/>
      <c r="W81" s="104"/>
      <c r="X81" s="104" t="s">
        <v>165</v>
      </c>
      <c r="Y81" s="101"/>
    </row>
    <row r="82" spans="1:25" ht="24">
      <c r="A82" s="164">
        <v>81</v>
      </c>
      <c r="B82" s="104"/>
      <c r="C82" s="104"/>
      <c r="D82" s="107">
        <v>857</v>
      </c>
      <c r="E82" s="107" t="s">
        <v>491</v>
      </c>
      <c r="F82" s="97"/>
      <c r="G82" s="109" t="s">
        <v>492</v>
      </c>
      <c r="H82" s="109" t="s">
        <v>490</v>
      </c>
      <c r="I82" s="148"/>
      <c r="J82" s="222"/>
      <c r="K82" s="215" t="s">
        <v>165</v>
      </c>
      <c r="L82" s="215" t="s">
        <v>165</v>
      </c>
      <c r="M82" s="107" t="s">
        <v>2</v>
      </c>
      <c r="N82" s="107">
        <v>0</v>
      </c>
      <c r="O82" s="185"/>
      <c r="P82" s="181"/>
      <c r="Q82" s="149"/>
      <c r="R82" s="149"/>
      <c r="S82" s="215" t="s">
        <v>165</v>
      </c>
      <c r="T82" s="215" t="s">
        <v>165</v>
      </c>
      <c r="U82" s="104" t="s">
        <v>165</v>
      </c>
      <c r="V82" s="104"/>
      <c r="W82" s="104"/>
      <c r="X82" s="104" t="s">
        <v>165</v>
      </c>
      <c r="Y82" s="101"/>
    </row>
    <row r="83" spans="1:25">
      <c r="A83" s="164">
        <v>82</v>
      </c>
      <c r="B83" s="104"/>
      <c r="C83" s="104"/>
      <c r="D83" s="107">
        <v>869</v>
      </c>
      <c r="E83" s="107" t="s">
        <v>291</v>
      </c>
      <c r="F83" s="97"/>
      <c r="G83" s="110" t="s">
        <v>493</v>
      </c>
      <c r="H83" s="109" t="s">
        <v>164</v>
      </c>
      <c r="I83" s="148"/>
      <c r="J83" s="222"/>
      <c r="K83" s="215" t="s">
        <v>165</v>
      </c>
      <c r="L83" s="215" t="s">
        <v>165</v>
      </c>
      <c r="M83" s="107"/>
      <c r="N83" s="107">
        <v>0</v>
      </c>
      <c r="O83" s="185"/>
      <c r="P83" s="181"/>
      <c r="Q83" s="149"/>
      <c r="R83" s="149"/>
      <c r="S83" s="215" t="s">
        <v>165</v>
      </c>
      <c r="T83" s="215" t="s">
        <v>165</v>
      </c>
      <c r="U83" s="129" t="s">
        <v>165</v>
      </c>
      <c r="V83" s="104"/>
      <c r="W83" s="104"/>
      <c r="X83" s="129" t="s">
        <v>165</v>
      </c>
      <c r="Y83" s="101"/>
    </row>
    <row r="84" spans="1:25" ht="168">
      <c r="A84" s="164">
        <v>83</v>
      </c>
      <c r="B84" s="39" t="s">
        <v>2</v>
      </c>
      <c r="C84" s="39"/>
      <c r="D84" s="32">
        <v>873</v>
      </c>
      <c r="E84" s="32">
        <v>9</v>
      </c>
      <c r="F84" s="86"/>
      <c r="G84" s="51" t="s">
        <v>494</v>
      </c>
      <c r="H84" s="51" t="s">
        <v>495</v>
      </c>
      <c r="I84" s="51"/>
      <c r="J84" s="94"/>
      <c r="K84" s="73" t="s">
        <v>496</v>
      </c>
      <c r="L84" s="73" t="s">
        <v>496</v>
      </c>
      <c r="M84" s="32" t="s">
        <v>52</v>
      </c>
      <c r="N84" s="32">
        <v>1</v>
      </c>
      <c r="O84" s="73"/>
      <c r="P84" s="132" t="s">
        <v>155</v>
      </c>
      <c r="Q84" s="13"/>
      <c r="R84" s="13"/>
      <c r="S84" s="73" t="s">
        <v>496</v>
      </c>
      <c r="T84" s="73" t="s">
        <v>496</v>
      </c>
      <c r="U84" s="73" t="s">
        <v>496</v>
      </c>
      <c r="V84" s="51"/>
      <c r="W84" s="51"/>
      <c r="X84" s="73" t="s">
        <v>496</v>
      </c>
      <c r="Y84" s="12"/>
    </row>
    <row r="85" spans="1:25" ht="24">
      <c r="A85" s="164">
        <v>84</v>
      </c>
      <c r="B85" s="106"/>
      <c r="C85" s="106"/>
      <c r="D85" s="107">
        <v>874</v>
      </c>
      <c r="E85" s="107" t="s">
        <v>497</v>
      </c>
      <c r="F85" s="108"/>
      <c r="G85" s="109" t="s">
        <v>498</v>
      </c>
      <c r="H85" s="109" t="s">
        <v>499</v>
      </c>
      <c r="I85" s="109"/>
      <c r="J85" s="113"/>
      <c r="K85" s="89" t="s">
        <v>179</v>
      </c>
      <c r="L85" s="89" t="s">
        <v>179</v>
      </c>
      <c r="M85" s="107" t="s">
        <v>58</v>
      </c>
      <c r="N85" s="107">
        <v>0</v>
      </c>
      <c r="O85" s="123"/>
      <c r="P85" s="184" t="s">
        <v>2</v>
      </c>
      <c r="Q85" s="189"/>
      <c r="R85" s="189"/>
      <c r="S85" s="89" t="s">
        <v>179</v>
      </c>
      <c r="T85" s="89" t="s">
        <v>179</v>
      </c>
      <c r="U85" s="89" t="s">
        <v>179</v>
      </c>
      <c r="V85" s="109"/>
      <c r="W85" s="109"/>
      <c r="X85" s="89" t="s">
        <v>179</v>
      </c>
      <c r="Y85" s="106"/>
    </row>
    <row r="86" spans="1:25" ht="24">
      <c r="A86" s="164">
        <v>85</v>
      </c>
      <c r="B86" s="105"/>
      <c r="C86" s="105"/>
      <c r="D86" s="107">
        <v>879</v>
      </c>
      <c r="E86" s="107" t="s">
        <v>150</v>
      </c>
      <c r="F86" s="97"/>
      <c r="G86" s="109" t="s">
        <v>500</v>
      </c>
      <c r="H86" s="109" t="s">
        <v>501</v>
      </c>
      <c r="I86" s="103"/>
      <c r="J86" s="98"/>
      <c r="K86" s="103" t="s">
        <v>165</v>
      </c>
      <c r="L86" s="103" t="s">
        <v>165</v>
      </c>
      <c r="M86" s="107" t="s">
        <v>2</v>
      </c>
      <c r="N86" s="107">
        <v>0</v>
      </c>
      <c r="O86" s="99"/>
      <c r="P86" s="185"/>
      <c r="Q86" s="100"/>
      <c r="R86" s="100"/>
      <c r="S86" s="103" t="s">
        <v>165</v>
      </c>
      <c r="T86" s="103" t="s">
        <v>165</v>
      </c>
      <c r="U86" s="103" t="s">
        <v>165</v>
      </c>
      <c r="V86" s="103"/>
      <c r="W86" s="103"/>
      <c r="X86" s="103" t="s">
        <v>165</v>
      </c>
      <c r="Y86" s="104"/>
    </row>
    <row r="87" spans="1:25" ht="48">
      <c r="A87" s="164">
        <v>86</v>
      </c>
      <c r="B87" s="105"/>
      <c r="C87" s="105"/>
      <c r="D87" s="107">
        <v>888</v>
      </c>
      <c r="E87" s="107" t="s">
        <v>150</v>
      </c>
      <c r="F87" s="97"/>
      <c r="G87" s="109" t="s">
        <v>502</v>
      </c>
      <c r="H87" s="115" t="s">
        <v>503</v>
      </c>
      <c r="I87" s="103"/>
      <c r="J87" s="98"/>
      <c r="K87" s="103" t="s">
        <v>165</v>
      </c>
      <c r="L87" s="103" t="s">
        <v>165</v>
      </c>
      <c r="M87" s="107"/>
      <c r="N87" s="107">
        <v>0</v>
      </c>
      <c r="O87" s="99"/>
      <c r="P87" s="185"/>
      <c r="Q87" s="100"/>
      <c r="R87" s="100"/>
      <c r="S87" s="103" t="s">
        <v>165</v>
      </c>
      <c r="T87" s="103" t="s">
        <v>165</v>
      </c>
      <c r="U87" s="103" t="s">
        <v>165</v>
      </c>
      <c r="V87" s="103"/>
      <c r="W87" s="103"/>
      <c r="X87" s="103" t="s">
        <v>165</v>
      </c>
      <c r="Y87" s="104"/>
    </row>
    <row r="88" spans="1:25" ht="24">
      <c r="A88" s="164">
        <v>87</v>
      </c>
      <c r="B88" s="105"/>
      <c r="C88" s="105"/>
      <c r="D88" s="107">
        <v>897</v>
      </c>
      <c r="E88" s="107" t="s">
        <v>27</v>
      </c>
      <c r="F88" s="97"/>
      <c r="G88" s="109" t="s">
        <v>504</v>
      </c>
      <c r="H88" s="109" t="s">
        <v>501</v>
      </c>
      <c r="I88" s="103"/>
      <c r="J88" s="98"/>
      <c r="K88" s="116" t="s">
        <v>247</v>
      </c>
      <c r="L88" s="116" t="s">
        <v>165</v>
      </c>
      <c r="M88" s="107" t="s">
        <v>2</v>
      </c>
      <c r="N88" s="107">
        <v>0</v>
      </c>
      <c r="O88" s="99"/>
      <c r="P88" s="185"/>
      <c r="Q88" s="100"/>
      <c r="R88" s="100"/>
      <c r="S88" s="116" t="s">
        <v>247</v>
      </c>
      <c r="T88" s="116" t="s">
        <v>165</v>
      </c>
      <c r="U88" s="116" t="s">
        <v>165</v>
      </c>
      <c r="V88" s="103"/>
      <c r="W88" s="103"/>
      <c r="X88" s="116" t="s">
        <v>165</v>
      </c>
      <c r="Y88" s="104"/>
    </row>
    <row r="89" spans="1:25" ht="168">
      <c r="A89" s="164">
        <v>88</v>
      </c>
      <c r="B89" s="39"/>
      <c r="C89" s="39"/>
      <c r="D89" s="32">
        <v>898</v>
      </c>
      <c r="E89" s="32" t="s">
        <v>175</v>
      </c>
      <c r="F89" s="85" t="s">
        <v>505</v>
      </c>
      <c r="G89" s="51" t="s">
        <v>506</v>
      </c>
      <c r="H89" s="51" t="s">
        <v>507</v>
      </c>
      <c r="I89" s="51"/>
      <c r="J89" s="94" t="s">
        <v>508</v>
      </c>
      <c r="K89" s="217" t="s">
        <v>509</v>
      </c>
      <c r="L89" s="217" t="s">
        <v>509</v>
      </c>
      <c r="M89" s="32" t="s">
        <v>166</v>
      </c>
      <c r="N89" s="32">
        <v>1</v>
      </c>
      <c r="O89" s="73"/>
      <c r="P89" s="132" t="s">
        <v>155</v>
      </c>
      <c r="Q89" s="13"/>
      <c r="R89" s="13"/>
      <c r="S89" s="217" t="s">
        <v>509</v>
      </c>
      <c r="T89" s="217" t="s">
        <v>509</v>
      </c>
      <c r="U89" s="51" t="s">
        <v>509</v>
      </c>
      <c r="X89" s="51" t="s">
        <v>509</v>
      </c>
    </row>
    <row r="90" spans="1:25" ht="24">
      <c r="A90" s="164">
        <v>89</v>
      </c>
      <c r="B90" s="70"/>
      <c r="C90" s="70"/>
      <c r="D90" s="32">
        <v>900</v>
      </c>
      <c r="E90" s="32" t="s">
        <v>27</v>
      </c>
      <c r="F90" s="71" t="s">
        <v>510</v>
      </c>
      <c r="G90" s="51" t="s">
        <v>511</v>
      </c>
      <c r="H90" s="51" t="s">
        <v>512</v>
      </c>
      <c r="I90" s="74"/>
      <c r="J90" s="72"/>
      <c r="K90" s="217" t="s">
        <v>513</v>
      </c>
      <c r="L90" s="217" t="s">
        <v>513</v>
      </c>
      <c r="M90" s="32"/>
      <c r="N90" s="32">
        <v>0</v>
      </c>
      <c r="O90" s="73"/>
      <c r="P90" s="82" t="s">
        <v>155</v>
      </c>
      <c r="Q90" s="13"/>
      <c r="R90" s="13"/>
      <c r="S90" s="217" t="s">
        <v>513</v>
      </c>
      <c r="T90" s="217" t="s">
        <v>513</v>
      </c>
      <c r="U90" s="74" t="s">
        <v>165</v>
      </c>
      <c r="V90" s="74"/>
      <c r="W90" s="74"/>
      <c r="X90" s="74" t="s">
        <v>165</v>
      </c>
      <c r="Y90" s="75"/>
    </row>
    <row r="91" spans="1:25" ht="84">
      <c r="A91" s="164">
        <v>90</v>
      </c>
      <c r="B91" s="70"/>
      <c r="C91" s="70"/>
      <c r="D91" s="82">
        <v>901</v>
      </c>
      <c r="E91" s="151" t="s">
        <v>27</v>
      </c>
      <c r="F91" s="71" t="s">
        <v>514</v>
      </c>
      <c r="G91" s="14" t="s">
        <v>515</v>
      </c>
      <c r="H91" s="150" t="s">
        <v>516</v>
      </c>
      <c r="I91" s="74"/>
      <c r="J91" s="72"/>
      <c r="K91" s="5" t="s">
        <v>517</v>
      </c>
      <c r="L91" s="5" t="s">
        <v>517</v>
      </c>
      <c r="M91" s="82" t="s">
        <v>52</v>
      </c>
      <c r="N91" s="82">
        <v>1</v>
      </c>
      <c r="O91" s="73"/>
      <c r="P91" s="82" t="s">
        <v>155</v>
      </c>
      <c r="Q91" s="13"/>
      <c r="R91" s="13"/>
      <c r="S91" s="5" t="s">
        <v>517</v>
      </c>
      <c r="T91" s="5" t="s">
        <v>517</v>
      </c>
      <c r="U91" s="5" t="s">
        <v>518</v>
      </c>
      <c r="V91" s="74"/>
      <c r="W91" s="74"/>
      <c r="X91" s="5" t="s">
        <v>518</v>
      </c>
      <c r="Y91" s="75"/>
    </row>
    <row r="92" spans="1:25" ht="72">
      <c r="A92" s="164">
        <v>91</v>
      </c>
      <c r="B92" s="70"/>
      <c r="C92" s="70"/>
      <c r="D92" s="82">
        <v>902</v>
      </c>
      <c r="E92" s="132" t="s">
        <v>286</v>
      </c>
      <c r="F92" s="71" t="s">
        <v>519</v>
      </c>
      <c r="G92" s="14" t="s">
        <v>520</v>
      </c>
      <c r="H92" s="14" t="s">
        <v>521</v>
      </c>
      <c r="I92" s="74"/>
      <c r="J92" s="72"/>
      <c r="K92" s="5" t="s">
        <v>522</v>
      </c>
      <c r="L92" s="5" t="s">
        <v>522</v>
      </c>
      <c r="M92" s="82" t="s">
        <v>52</v>
      </c>
      <c r="N92" s="82">
        <v>1</v>
      </c>
      <c r="O92" s="73"/>
      <c r="P92" s="82" t="s">
        <v>155</v>
      </c>
      <c r="Q92" s="13"/>
      <c r="R92" s="13"/>
      <c r="S92" s="5" t="s">
        <v>522</v>
      </c>
      <c r="T92" s="5" t="s">
        <v>522</v>
      </c>
      <c r="U92" s="5" t="s">
        <v>523</v>
      </c>
      <c r="V92" s="74"/>
      <c r="W92" s="74"/>
      <c r="X92" s="5" t="s">
        <v>523</v>
      </c>
      <c r="Y92" s="75"/>
    </row>
    <row r="93" spans="1:25" ht="60">
      <c r="A93" s="164">
        <v>92</v>
      </c>
      <c r="B93" s="70"/>
      <c r="C93" s="70"/>
      <c r="D93" s="82">
        <v>905</v>
      </c>
      <c r="E93" s="132" t="s">
        <v>524</v>
      </c>
      <c r="F93" s="71" t="s">
        <v>525</v>
      </c>
      <c r="G93" s="14" t="s">
        <v>526</v>
      </c>
      <c r="H93" s="14" t="s">
        <v>527</v>
      </c>
      <c r="J93" s="72" t="s">
        <v>528</v>
      </c>
      <c r="K93" s="216" t="s">
        <v>165</v>
      </c>
      <c r="L93" s="216" t="s">
        <v>165</v>
      </c>
      <c r="M93" s="82" t="s">
        <v>166</v>
      </c>
      <c r="N93" s="82">
        <v>1</v>
      </c>
      <c r="O93" s="73"/>
      <c r="P93" s="82" t="s">
        <v>155</v>
      </c>
      <c r="Q93" s="13"/>
      <c r="R93" s="13"/>
      <c r="S93" s="216" t="s">
        <v>165</v>
      </c>
      <c r="T93" s="216" t="s">
        <v>165</v>
      </c>
      <c r="U93" s="5" t="s">
        <v>165</v>
      </c>
      <c r="V93" s="74"/>
      <c r="W93" s="74"/>
      <c r="X93" s="5" t="s">
        <v>165</v>
      </c>
      <c r="Y93" s="75"/>
    </row>
    <row r="94" spans="1:25" ht="60">
      <c r="A94" s="164">
        <v>93</v>
      </c>
      <c r="B94" s="70"/>
      <c r="C94" s="70"/>
      <c r="D94" s="82">
        <v>921</v>
      </c>
      <c r="E94" s="132" t="s">
        <v>265</v>
      </c>
      <c r="F94" s="71" t="s">
        <v>529</v>
      </c>
      <c r="G94" s="74" t="s">
        <v>530</v>
      </c>
      <c r="H94" s="14" t="s">
        <v>531</v>
      </c>
      <c r="I94" s="74"/>
      <c r="J94" s="72"/>
      <c r="K94" s="216" t="s">
        <v>165</v>
      </c>
      <c r="L94" s="216" t="s">
        <v>165</v>
      </c>
      <c r="M94" s="82" t="s">
        <v>166</v>
      </c>
      <c r="N94" s="82">
        <v>0</v>
      </c>
      <c r="O94" s="76"/>
      <c r="P94" s="82" t="s">
        <v>155</v>
      </c>
      <c r="Q94" s="131"/>
      <c r="R94" s="131"/>
      <c r="S94" s="216" t="s">
        <v>165</v>
      </c>
      <c r="T94" s="216" t="s">
        <v>165</v>
      </c>
      <c r="U94" s="5" t="s">
        <v>165</v>
      </c>
      <c r="V94" s="14"/>
      <c r="W94" s="14"/>
      <c r="X94" s="5" t="s">
        <v>165</v>
      </c>
      <c r="Y94" s="14"/>
    </row>
    <row r="95" spans="1:25" ht="108">
      <c r="A95" s="164">
        <v>94</v>
      </c>
      <c r="B95" s="12"/>
      <c r="C95" s="12"/>
      <c r="D95" s="32">
        <v>945</v>
      </c>
      <c r="E95" s="32" t="s">
        <v>27</v>
      </c>
      <c r="F95" s="85"/>
      <c r="G95" s="51" t="s">
        <v>532</v>
      </c>
      <c r="H95" s="87" t="s">
        <v>533</v>
      </c>
      <c r="I95" s="51"/>
      <c r="J95" s="94" t="s">
        <v>534</v>
      </c>
      <c r="K95" s="216" t="s">
        <v>165</v>
      </c>
      <c r="L95" s="216" t="s">
        <v>165</v>
      </c>
      <c r="M95" s="32" t="s">
        <v>166</v>
      </c>
      <c r="N95" s="32">
        <v>0</v>
      </c>
      <c r="O95" s="76"/>
      <c r="P95" s="132" t="s">
        <v>155</v>
      </c>
      <c r="Q95" s="190"/>
      <c r="R95" s="190"/>
      <c r="S95" s="216" t="s">
        <v>165</v>
      </c>
      <c r="T95" s="216" t="s">
        <v>165</v>
      </c>
      <c r="U95" s="4" t="s">
        <v>165</v>
      </c>
      <c r="V95" s="51"/>
      <c r="W95" s="51"/>
      <c r="X95" s="4" t="s">
        <v>165</v>
      </c>
      <c r="Y95" s="12"/>
    </row>
    <row r="96" spans="1:25" ht="36">
      <c r="A96" s="164">
        <v>95</v>
      </c>
      <c r="B96" s="106"/>
      <c r="C96" s="106"/>
      <c r="D96" s="107">
        <v>946</v>
      </c>
      <c r="E96" s="107" t="s">
        <v>535</v>
      </c>
      <c r="F96" s="108" t="s">
        <v>536</v>
      </c>
      <c r="G96" s="109" t="s">
        <v>537</v>
      </c>
      <c r="H96" s="115" t="s">
        <v>538</v>
      </c>
      <c r="I96" s="109"/>
      <c r="J96" s="113"/>
      <c r="K96" s="89" t="s">
        <v>179</v>
      </c>
      <c r="L96" s="89" t="s">
        <v>179</v>
      </c>
      <c r="M96" s="107" t="s">
        <v>58</v>
      </c>
      <c r="N96" s="107">
        <v>0</v>
      </c>
      <c r="O96" s="123"/>
      <c r="P96" s="184"/>
      <c r="Q96" s="189"/>
      <c r="R96" s="189"/>
      <c r="S96" s="89" t="s">
        <v>179</v>
      </c>
      <c r="T96" s="89" t="s">
        <v>179</v>
      </c>
      <c r="U96" s="89" t="s">
        <v>179</v>
      </c>
      <c r="V96" s="109"/>
      <c r="W96" s="109"/>
      <c r="X96" s="89" t="s">
        <v>179</v>
      </c>
      <c r="Y96" s="106"/>
    </row>
    <row r="97" spans="1:27" ht="91.5" customHeight="1">
      <c r="A97" s="164">
        <v>96</v>
      </c>
      <c r="B97" s="105"/>
      <c r="C97" s="105"/>
      <c r="D97" s="107">
        <v>955</v>
      </c>
      <c r="E97" s="107" t="s">
        <v>27</v>
      </c>
      <c r="F97" s="97" t="s">
        <v>302</v>
      </c>
      <c r="G97" s="109" t="s">
        <v>539</v>
      </c>
      <c r="H97" s="109" t="s">
        <v>540</v>
      </c>
      <c r="I97" s="103"/>
      <c r="J97" s="98" t="s">
        <v>305</v>
      </c>
      <c r="K97" s="116" t="s">
        <v>165</v>
      </c>
      <c r="L97" s="116" t="s">
        <v>165</v>
      </c>
      <c r="M97" s="107"/>
      <c r="N97" s="107">
        <v>0</v>
      </c>
      <c r="O97" s="99"/>
      <c r="P97" s="185" t="s">
        <v>155</v>
      </c>
      <c r="Q97" s="100"/>
      <c r="R97" s="100"/>
      <c r="S97" s="116" t="s">
        <v>165</v>
      </c>
      <c r="T97" s="116" t="s">
        <v>165</v>
      </c>
      <c r="U97" s="116" t="s">
        <v>165</v>
      </c>
      <c r="V97" s="103"/>
      <c r="W97" s="103"/>
      <c r="X97" s="116" t="s">
        <v>165</v>
      </c>
      <c r="Y97" s="104"/>
    </row>
    <row r="98" spans="1:27" ht="48">
      <c r="A98" s="164">
        <v>97</v>
      </c>
      <c r="B98" s="106"/>
      <c r="C98" s="106"/>
      <c r="D98" s="107">
        <v>956</v>
      </c>
      <c r="E98" s="107" t="s">
        <v>220</v>
      </c>
      <c r="F98" s="108"/>
      <c r="G98" s="109" t="s">
        <v>541</v>
      </c>
      <c r="H98" s="109" t="s">
        <v>542</v>
      </c>
      <c r="I98" s="109"/>
      <c r="J98" s="113" t="s">
        <v>305</v>
      </c>
      <c r="K98" s="89" t="s">
        <v>165</v>
      </c>
      <c r="L98" s="89" t="s">
        <v>165</v>
      </c>
      <c r="M98" s="107" t="s">
        <v>166</v>
      </c>
      <c r="N98" s="107">
        <v>0</v>
      </c>
      <c r="O98" s="123"/>
      <c r="P98" s="184"/>
      <c r="Q98" s="189"/>
      <c r="R98" s="189"/>
      <c r="S98" s="89" t="s">
        <v>165</v>
      </c>
      <c r="T98" s="89" t="s">
        <v>165</v>
      </c>
      <c r="U98" s="89" t="s">
        <v>165</v>
      </c>
      <c r="V98" s="109"/>
      <c r="W98" s="109"/>
      <c r="X98" s="89" t="s">
        <v>165</v>
      </c>
      <c r="Y98" s="109"/>
    </row>
    <row r="99" spans="1:27" ht="36">
      <c r="A99" s="164">
        <v>98</v>
      </c>
      <c r="B99" s="224"/>
      <c r="C99" s="224"/>
      <c r="D99" s="225">
        <v>959</v>
      </c>
      <c r="E99" s="225" t="s">
        <v>27</v>
      </c>
      <c r="F99" s="226"/>
      <c r="G99" s="144" t="s">
        <v>543</v>
      </c>
      <c r="H99" s="144"/>
      <c r="I99" s="144"/>
      <c r="J99" s="227" t="s">
        <v>544</v>
      </c>
      <c r="K99" s="228"/>
      <c r="L99" s="228"/>
      <c r="M99" s="225" t="s">
        <v>166</v>
      </c>
      <c r="N99" s="225">
        <v>0</v>
      </c>
      <c r="O99" s="229"/>
      <c r="P99" s="230" t="s">
        <v>155</v>
      </c>
      <c r="Q99" s="231"/>
      <c r="R99" s="231"/>
      <c r="S99" s="228"/>
      <c r="T99" s="228"/>
      <c r="U99" s="228"/>
      <c r="V99" s="215"/>
      <c r="W99" s="215"/>
      <c r="X99" s="144"/>
      <c r="Y99" s="303"/>
      <c r="Z99" s="9"/>
      <c r="AA99" s="6"/>
    </row>
    <row r="100" spans="1:27" ht="36">
      <c r="A100" s="164">
        <v>99</v>
      </c>
      <c r="B100" s="224"/>
      <c r="C100" s="224"/>
      <c r="D100" s="225">
        <v>960</v>
      </c>
      <c r="E100" s="225" t="s">
        <v>27</v>
      </c>
      <c r="F100" s="226"/>
      <c r="G100" s="144" t="s">
        <v>545</v>
      </c>
      <c r="H100" s="144"/>
      <c r="I100" s="144"/>
      <c r="J100" s="227" t="s">
        <v>546</v>
      </c>
      <c r="K100" s="228"/>
      <c r="L100" s="228"/>
      <c r="M100" s="225" t="s">
        <v>166</v>
      </c>
      <c r="N100" s="225">
        <v>0</v>
      </c>
      <c r="O100" s="229"/>
      <c r="P100" s="230" t="s">
        <v>155</v>
      </c>
      <c r="Q100" s="231"/>
      <c r="R100" s="231"/>
      <c r="S100" s="228"/>
      <c r="T100" s="228"/>
      <c r="U100" s="228"/>
      <c r="V100" s="215"/>
      <c r="W100" s="215"/>
      <c r="X100" s="144"/>
      <c r="Y100" s="303"/>
      <c r="Z100" s="9"/>
      <c r="AA100" s="6"/>
    </row>
    <row r="101" spans="1:27" ht="24">
      <c r="A101" s="259">
        <v>100</v>
      </c>
      <c r="B101" s="263" t="s">
        <v>2</v>
      </c>
      <c r="C101" s="260"/>
      <c r="D101" s="250">
        <v>961</v>
      </c>
      <c r="E101" s="250" t="s">
        <v>430</v>
      </c>
      <c r="F101" s="261" t="s">
        <v>547</v>
      </c>
      <c r="G101" s="262" t="s">
        <v>548</v>
      </c>
      <c r="H101" s="262" t="s">
        <v>549</v>
      </c>
      <c r="I101" s="256"/>
      <c r="J101" s="72" t="s">
        <v>550</v>
      </c>
      <c r="K101" s="240" t="s">
        <v>551</v>
      </c>
      <c r="L101" s="240" t="s">
        <v>551</v>
      </c>
      <c r="M101" s="250" t="s">
        <v>166</v>
      </c>
      <c r="N101" s="250">
        <v>0</v>
      </c>
      <c r="O101" s="251"/>
      <c r="P101" s="252" t="s">
        <v>155</v>
      </c>
      <c r="Q101" s="253"/>
      <c r="R101" s="253"/>
      <c r="S101" s="240" t="s">
        <v>551</v>
      </c>
      <c r="T101" s="240" t="s">
        <v>551</v>
      </c>
      <c r="U101" s="254" t="s">
        <v>551</v>
      </c>
      <c r="V101" s="255"/>
      <c r="W101" s="255"/>
      <c r="X101" s="254" t="s">
        <v>551</v>
      </c>
      <c r="Y101" s="304"/>
      <c r="Z101" s="8"/>
      <c r="AA101" s="8"/>
    </row>
    <row r="102" spans="1:27" ht="24">
      <c r="A102" s="244">
        <v>101</v>
      </c>
      <c r="B102" s="264" t="s">
        <v>2</v>
      </c>
      <c r="C102" s="247"/>
      <c r="D102" s="241">
        <v>964</v>
      </c>
      <c r="E102" s="241" t="s">
        <v>552</v>
      </c>
      <c r="F102" s="257" t="s">
        <v>547</v>
      </c>
      <c r="G102" s="246" t="s">
        <v>553</v>
      </c>
      <c r="H102" s="248" t="s">
        <v>554</v>
      </c>
      <c r="I102" s="246"/>
      <c r="J102" s="258" t="s">
        <v>550</v>
      </c>
      <c r="K102" s="240" t="s">
        <v>551</v>
      </c>
      <c r="L102" s="249" t="s">
        <v>551</v>
      </c>
      <c r="M102" s="241"/>
      <c r="N102" s="241"/>
      <c r="O102" s="242"/>
      <c r="P102" s="241"/>
      <c r="Q102" s="243"/>
      <c r="R102" s="243"/>
      <c r="S102" s="240" t="s">
        <v>551</v>
      </c>
      <c r="T102" s="249" t="s">
        <v>551</v>
      </c>
      <c r="U102" s="245" t="s">
        <v>551</v>
      </c>
      <c r="V102" s="246"/>
      <c r="W102" s="246"/>
      <c r="X102" s="245" t="s">
        <v>551</v>
      </c>
      <c r="Y102" s="247"/>
    </row>
    <row r="103" spans="1:27" ht="24">
      <c r="A103" s="266">
        <v>102</v>
      </c>
      <c r="B103" s="267" t="s">
        <v>2</v>
      </c>
      <c r="C103" s="268"/>
      <c r="D103" s="269">
        <v>967</v>
      </c>
      <c r="E103" s="269" t="s">
        <v>552</v>
      </c>
      <c r="F103" s="270" t="s">
        <v>555</v>
      </c>
      <c r="G103" s="271" t="s">
        <v>556</v>
      </c>
      <c r="H103" s="271" t="s">
        <v>557</v>
      </c>
      <c r="I103" s="272"/>
      <c r="J103" s="273" t="s">
        <v>550</v>
      </c>
      <c r="K103" s="254" t="s">
        <v>551</v>
      </c>
      <c r="L103" s="274" t="s">
        <v>551</v>
      </c>
      <c r="M103" s="269"/>
      <c r="N103" s="269"/>
      <c r="O103" s="275"/>
      <c r="P103" s="269"/>
      <c r="Q103" s="276"/>
      <c r="R103" s="276"/>
      <c r="S103" s="254" t="s">
        <v>551</v>
      </c>
      <c r="T103" s="274" t="s">
        <v>551</v>
      </c>
      <c r="U103" s="272"/>
      <c r="V103" s="272"/>
      <c r="W103" s="272"/>
      <c r="X103" s="272"/>
      <c r="Y103" s="277"/>
    </row>
    <row r="104" spans="1:27">
      <c r="A104" s="244">
        <v>103</v>
      </c>
      <c r="B104" s="247"/>
      <c r="C104" s="247"/>
      <c r="D104" s="241">
        <v>994</v>
      </c>
      <c r="E104" s="241" t="s">
        <v>558</v>
      </c>
      <c r="F104" s="257"/>
      <c r="G104" s="246" t="s">
        <v>559</v>
      </c>
      <c r="H104" s="248" t="s">
        <v>501</v>
      </c>
      <c r="I104" s="246"/>
      <c r="J104" s="265"/>
      <c r="K104" s="265"/>
      <c r="L104" s="514"/>
      <c r="M104" s="82"/>
      <c r="N104" s="82"/>
      <c r="O104" s="77"/>
      <c r="P104" s="82"/>
      <c r="Q104" s="13"/>
      <c r="R104" s="13"/>
      <c r="S104" s="92"/>
      <c r="T104" s="92"/>
      <c r="U104" s="516"/>
      <c r="V104" s="74"/>
      <c r="W104" s="515"/>
      <c r="X104" s="248"/>
      <c r="Y104" s="247"/>
    </row>
    <row r="105" spans="1:27">
      <c r="A105" s="17"/>
      <c r="B105" s="8"/>
      <c r="C105" s="8"/>
      <c r="D105" s="19"/>
      <c r="E105" s="19"/>
      <c r="F105" s="21"/>
      <c r="G105" s="9"/>
      <c r="H105" s="22"/>
      <c r="I105" s="9"/>
      <c r="J105" s="23"/>
      <c r="K105" s="23"/>
      <c r="L105" s="24"/>
      <c r="M105" s="509"/>
      <c r="N105" s="509"/>
      <c r="O105" s="24"/>
      <c r="P105" s="509"/>
      <c r="Q105" s="510"/>
      <c r="R105" s="510"/>
      <c r="S105" s="511"/>
      <c r="T105" s="511"/>
      <c r="U105" s="28"/>
      <c r="V105" s="512"/>
      <c r="W105" s="9"/>
      <c r="X105" s="22"/>
      <c r="Y105" s="9"/>
    </row>
    <row r="106" spans="1:27">
      <c r="A106" s="17"/>
      <c r="B106" s="25"/>
      <c r="C106" s="25"/>
      <c r="D106" s="19"/>
      <c r="E106" s="20"/>
      <c r="F106" s="21"/>
      <c r="G106" s="22"/>
      <c r="H106" s="22"/>
      <c r="I106" s="9"/>
      <c r="J106" s="23"/>
      <c r="K106" s="23"/>
      <c r="L106" s="27"/>
      <c r="M106" s="509"/>
      <c r="N106" s="509"/>
      <c r="O106" s="513"/>
      <c r="P106" s="509"/>
      <c r="Q106" s="510"/>
      <c r="R106" s="510"/>
      <c r="S106" s="511"/>
      <c r="T106" s="511"/>
      <c r="U106" s="512"/>
      <c r="V106" s="512"/>
      <c r="W106" s="9"/>
      <c r="X106" s="9"/>
      <c r="Y106" s="8"/>
    </row>
    <row r="107" spans="1:27">
      <c r="A107" s="17"/>
      <c r="B107" s="25"/>
      <c r="C107" s="25"/>
      <c r="D107" s="19"/>
      <c r="E107" s="19"/>
      <c r="F107" s="21"/>
      <c r="G107" s="22"/>
      <c r="H107" s="22"/>
      <c r="I107" s="9"/>
      <c r="J107" s="23"/>
      <c r="K107" s="23"/>
      <c r="L107" s="27"/>
      <c r="M107" s="509"/>
      <c r="N107" s="509"/>
      <c r="O107" s="513"/>
      <c r="P107" s="509"/>
      <c r="Q107" s="510"/>
      <c r="R107" s="510"/>
      <c r="S107" s="511"/>
      <c r="T107" s="511"/>
      <c r="U107" s="512"/>
      <c r="V107" s="512"/>
      <c r="W107" s="9"/>
      <c r="X107" s="9"/>
      <c r="Y107" s="8"/>
    </row>
    <row r="108" spans="1:27">
      <c r="A108" s="17"/>
      <c r="B108" s="25"/>
      <c r="C108" s="25"/>
      <c r="D108" s="19"/>
      <c r="E108" s="19"/>
      <c r="F108" s="21"/>
      <c r="G108" s="22"/>
      <c r="H108" s="22"/>
      <c r="I108" s="9"/>
      <c r="J108" s="23"/>
      <c r="K108" s="23"/>
      <c r="L108" s="27"/>
      <c r="M108" s="19"/>
      <c r="N108" s="19"/>
      <c r="O108" s="27"/>
      <c r="P108" s="19"/>
      <c r="Q108" s="26"/>
      <c r="R108" s="26"/>
      <c r="S108" s="66"/>
      <c r="T108" s="66"/>
      <c r="U108" s="9"/>
      <c r="V108" s="9"/>
      <c r="W108" s="9"/>
      <c r="X108" s="9"/>
      <c r="Y108" s="8"/>
    </row>
    <row r="109" spans="1:27">
      <c r="A109" s="17"/>
      <c r="B109" s="25"/>
      <c r="C109" s="25"/>
      <c r="D109" s="19"/>
      <c r="E109" s="19"/>
      <c r="F109" s="21"/>
      <c r="G109" s="22"/>
      <c r="H109" s="22"/>
      <c r="I109" s="9"/>
      <c r="J109" s="23"/>
      <c r="K109" s="23"/>
      <c r="L109" s="27"/>
      <c r="M109" s="19"/>
      <c r="N109" s="19"/>
      <c r="O109" s="27"/>
      <c r="P109" s="19"/>
      <c r="Q109" s="26"/>
      <c r="R109" s="26"/>
      <c r="S109" s="66"/>
      <c r="T109" s="66"/>
      <c r="U109" s="9"/>
      <c r="V109" s="9"/>
      <c r="W109" s="9"/>
      <c r="X109" s="9"/>
      <c r="Y109" s="8"/>
    </row>
    <row r="110" spans="1:27">
      <c r="A110" s="17"/>
      <c r="B110" s="25"/>
      <c r="C110" s="25"/>
      <c r="D110" s="19"/>
      <c r="E110" s="19"/>
      <c r="F110" s="21"/>
      <c r="G110" s="22"/>
      <c r="H110" s="22"/>
      <c r="I110" s="9"/>
      <c r="J110" s="23"/>
      <c r="K110" s="23"/>
      <c r="L110" s="27"/>
      <c r="M110" s="19"/>
      <c r="N110" s="19"/>
      <c r="O110" s="27"/>
      <c r="P110" s="19"/>
      <c r="Q110" s="26"/>
      <c r="R110" s="26"/>
      <c r="S110" s="66"/>
      <c r="T110" s="66"/>
      <c r="U110" s="9"/>
      <c r="V110" s="9"/>
      <c r="W110" s="9"/>
      <c r="X110" s="9"/>
      <c r="Y110" s="8"/>
    </row>
    <row r="111" spans="1:27">
      <c r="A111" s="17"/>
      <c r="B111" s="25"/>
      <c r="C111" s="25"/>
      <c r="D111" s="19"/>
      <c r="E111" s="19"/>
      <c r="F111" s="21"/>
      <c r="G111" s="22"/>
      <c r="H111" s="22"/>
      <c r="I111" s="9"/>
      <c r="J111" s="23"/>
      <c r="K111" s="23"/>
      <c r="L111" s="27"/>
      <c r="M111" s="19"/>
      <c r="N111" s="19"/>
      <c r="O111" s="27"/>
      <c r="P111" s="19"/>
      <c r="Q111" s="26"/>
      <c r="R111" s="26"/>
      <c r="S111" s="66"/>
      <c r="T111" s="66"/>
      <c r="U111" s="9"/>
      <c r="V111" s="9"/>
      <c r="W111" s="9"/>
      <c r="X111" s="9"/>
      <c r="Y111" s="8"/>
    </row>
    <row r="112" spans="1:27">
      <c r="A112" s="17"/>
      <c r="B112" s="25"/>
      <c r="C112" s="25"/>
      <c r="D112" s="19"/>
      <c r="E112" s="19"/>
      <c r="F112" s="21"/>
      <c r="G112" s="22"/>
      <c r="H112" s="22"/>
      <c r="I112" s="9"/>
      <c r="J112" s="23"/>
      <c r="K112" s="23"/>
      <c r="L112" s="27"/>
      <c r="M112" s="19"/>
      <c r="N112" s="19"/>
      <c r="O112" s="27"/>
      <c r="P112" s="19"/>
      <c r="Q112" s="26"/>
      <c r="R112" s="26"/>
      <c r="S112" s="66"/>
      <c r="T112" s="66"/>
      <c r="U112" s="9"/>
      <c r="V112" s="9"/>
      <c r="W112" s="9"/>
      <c r="X112" s="9"/>
      <c r="Y112" s="8"/>
    </row>
    <row r="113" spans="1:25">
      <c r="A113" s="17"/>
      <c r="B113" s="25"/>
      <c r="C113" s="25"/>
      <c r="D113" s="19"/>
      <c r="E113" s="20"/>
      <c r="F113" s="21"/>
      <c r="G113" s="22"/>
      <c r="H113" s="22"/>
      <c r="I113" s="9"/>
      <c r="J113" s="23"/>
      <c r="K113" s="23"/>
      <c r="L113" s="27"/>
      <c r="M113" s="19"/>
      <c r="N113" s="19"/>
      <c r="O113" s="27"/>
      <c r="P113" s="19"/>
      <c r="Q113" s="26"/>
      <c r="R113" s="26"/>
      <c r="S113" s="66"/>
      <c r="T113" s="66"/>
      <c r="U113" s="9"/>
      <c r="V113" s="9"/>
      <c r="W113" s="9"/>
      <c r="X113" s="9"/>
      <c r="Y113" s="8"/>
    </row>
    <row r="114" spans="1:25">
      <c r="A114" s="17"/>
      <c r="B114" s="25"/>
      <c r="C114" s="25"/>
      <c r="D114" s="19"/>
      <c r="E114" s="19"/>
      <c r="F114" s="21"/>
      <c r="G114" s="22"/>
      <c r="H114" s="22"/>
      <c r="I114" s="9"/>
      <c r="J114" s="23"/>
      <c r="K114" s="23"/>
      <c r="L114" s="27"/>
      <c r="M114" s="19"/>
      <c r="N114" s="19"/>
      <c r="O114" s="27"/>
      <c r="P114" s="19"/>
      <c r="Q114" s="26"/>
      <c r="R114" s="26"/>
      <c r="S114" s="66"/>
      <c r="T114" s="66"/>
      <c r="U114" s="9"/>
      <c r="V114" s="9"/>
      <c r="W114" s="9"/>
      <c r="X114" s="9"/>
      <c r="Y114" s="8"/>
    </row>
    <row r="115" spans="1:25">
      <c r="A115" s="17"/>
      <c r="B115" s="25"/>
      <c r="C115" s="25"/>
      <c r="D115" s="19"/>
      <c r="E115" s="20"/>
      <c r="F115" s="21"/>
      <c r="G115" s="22"/>
      <c r="H115" s="22"/>
      <c r="I115" s="9"/>
      <c r="J115" s="23"/>
      <c r="K115" s="23"/>
      <c r="L115" s="27"/>
      <c r="M115" s="19"/>
      <c r="N115" s="19"/>
      <c r="O115" s="27"/>
      <c r="P115" s="19"/>
      <c r="Q115" s="26"/>
      <c r="R115" s="26"/>
      <c r="S115" s="66"/>
      <c r="T115" s="66"/>
      <c r="U115" s="9"/>
      <c r="V115" s="9"/>
      <c r="W115" s="9"/>
      <c r="X115" s="9"/>
      <c r="Y115" s="8"/>
    </row>
    <row r="116" spans="1:25">
      <c r="A116" s="17"/>
      <c r="B116" s="25"/>
      <c r="C116" s="25"/>
      <c r="D116" s="19"/>
      <c r="E116" s="19"/>
      <c r="F116" s="21"/>
      <c r="G116" s="22"/>
      <c r="H116" s="22"/>
      <c r="I116" s="9"/>
      <c r="J116" s="23"/>
      <c r="K116" s="23"/>
      <c r="L116" s="27"/>
      <c r="M116" s="19"/>
      <c r="N116" s="19"/>
      <c r="O116" s="27"/>
      <c r="P116" s="19"/>
      <c r="Q116" s="26"/>
      <c r="R116" s="26"/>
      <c r="S116" s="66"/>
      <c r="T116" s="66"/>
      <c r="U116" s="9"/>
      <c r="V116" s="9"/>
      <c r="W116" s="9"/>
      <c r="X116" s="9"/>
      <c r="Y116" s="8"/>
    </row>
    <row r="117" spans="1:25">
      <c r="A117" s="17"/>
      <c r="B117" s="25"/>
      <c r="C117" s="25"/>
      <c r="D117" s="19"/>
      <c r="E117" s="19"/>
      <c r="F117" s="21"/>
      <c r="G117" s="22"/>
      <c r="H117" s="22"/>
      <c r="I117" s="9"/>
      <c r="J117" s="23"/>
      <c r="K117" s="23"/>
      <c r="L117" s="27"/>
      <c r="M117" s="19"/>
      <c r="N117" s="19"/>
      <c r="O117" s="27"/>
      <c r="P117" s="19"/>
      <c r="Q117" s="26"/>
      <c r="R117" s="26"/>
      <c r="S117" s="66"/>
      <c r="T117" s="66"/>
      <c r="U117" s="9"/>
      <c r="V117" s="9"/>
      <c r="W117" s="9"/>
      <c r="X117" s="9"/>
      <c r="Y117" s="8"/>
    </row>
    <row r="118" spans="1:25">
      <c r="A118" s="17"/>
      <c r="B118" s="25"/>
      <c r="C118" s="25"/>
      <c r="D118" s="19"/>
      <c r="E118" s="19"/>
      <c r="F118" s="21"/>
      <c r="G118" s="22"/>
      <c r="H118" s="22"/>
      <c r="I118" s="9"/>
      <c r="J118" s="23"/>
      <c r="K118" s="23"/>
      <c r="L118" s="27"/>
      <c r="M118" s="19"/>
      <c r="N118" s="19"/>
      <c r="O118" s="27"/>
      <c r="P118" s="19"/>
      <c r="Q118" s="26"/>
      <c r="R118" s="26"/>
      <c r="S118" s="66"/>
      <c r="T118" s="66"/>
      <c r="U118" s="9"/>
      <c r="V118" s="9"/>
      <c r="W118" s="9"/>
      <c r="X118" s="9"/>
      <c r="Y118" s="8"/>
    </row>
    <row r="119" spans="1:25">
      <c r="A119" s="17"/>
      <c r="B119" s="25"/>
      <c r="C119" s="25"/>
      <c r="D119" s="19"/>
      <c r="E119" s="20"/>
      <c r="F119" s="21"/>
      <c r="G119" s="22"/>
      <c r="H119" s="22"/>
      <c r="I119" s="9"/>
      <c r="J119" s="23"/>
      <c r="K119" s="23"/>
      <c r="L119" s="27"/>
      <c r="M119" s="19"/>
      <c r="N119" s="19"/>
      <c r="O119" s="27"/>
      <c r="P119" s="19"/>
      <c r="Q119" s="26"/>
      <c r="R119" s="26"/>
      <c r="S119" s="66"/>
      <c r="T119" s="66"/>
      <c r="U119" s="9"/>
      <c r="V119" s="9"/>
      <c r="W119" s="9"/>
      <c r="X119" s="9"/>
      <c r="Y119" s="8"/>
    </row>
    <row r="120" spans="1:25">
      <c r="A120" s="17"/>
      <c r="B120" s="25"/>
      <c r="C120" s="25"/>
      <c r="D120" s="19"/>
      <c r="E120" s="19"/>
      <c r="F120" s="21"/>
      <c r="G120" s="22"/>
      <c r="H120" s="22"/>
      <c r="I120" s="9"/>
      <c r="J120" s="23"/>
      <c r="K120" s="23"/>
      <c r="L120" s="27"/>
      <c r="M120" s="19"/>
      <c r="N120" s="19"/>
      <c r="O120" s="27"/>
      <c r="P120" s="19"/>
      <c r="Q120" s="26"/>
      <c r="R120" s="26"/>
      <c r="S120" s="66"/>
      <c r="T120" s="66"/>
      <c r="U120" s="9"/>
      <c r="V120" s="9"/>
      <c r="W120" s="9"/>
      <c r="X120" s="9"/>
      <c r="Y120" s="8"/>
    </row>
    <row r="121" spans="1:25">
      <c r="A121" s="17"/>
      <c r="B121" s="25"/>
      <c r="C121" s="25"/>
      <c r="D121" s="19"/>
      <c r="E121" s="20"/>
      <c r="F121" s="21"/>
      <c r="G121" s="22"/>
      <c r="H121" s="22"/>
      <c r="I121" s="9"/>
      <c r="J121" s="23"/>
      <c r="K121" s="23"/>
      <c r="L121" s="27"/>
      <c r="M121" s="19"/>
      <c r="N121" s="19"/>
      <c r="O121" s="27"/>
      <c r="P121" s="19"/>
      <c r="Q121" s="26"/>
      <c r="R121" s="26"/>
      <c r="S121" s="66"/>
      <c r="T121" s="66"/>
      <c r="U121" s="9"/>
      <c r="V121" s="9"/>
      <c r="W121" s="9"/>
      <c r="X121" s="9"/>
      <c r="Y121" s="8"/>
    </row>
    <row r="122" spans="1:25">
      <c r="A122" s="17"/>
      <c r="B122" s="25"/>
      <c r="C122" s="25"/>
      <c r="D122" s="19"/>
      <c r="E122" s="20"/>
      <c r="F122" s="21"/>
      <c r="G122" s="22"/>
      <c r="H122" s="22"/>
      <c r="I122" s="9"/>
      <c r="J122" s="23"/>
      <c r="K122" s="23"/>
      <c r="L122" s="27"/>
      <c r="M122" s="19"/>
      <c r="N122" s="19"/>
      <c r="O122" s="27"/>
      <c r="P122" s="19"/>
      <c r="Q122" s="26"/>
      <c r="R122" s="26"/>
      <c r="S122" s="66"/>
      <c r="T122" s="66"/>
      <c r="U122" s="9"/>
      <c r="V122" s="9"/>
      <c r="W122" s="9"/>
      <c r="X122" s="9"/>
      <c r="Y122" s="8"/>
    </row>
    <row r="123" spans="1:25">
      <c r="A123" s="17"/>
      <c r="B123" s="25"/>
      <c r="C123" s="25"/>
      <c r="D123" s="19"/>
      <c r="E123" s="19"/>
      <c r="F123" s="21"/>
      <c r="G123" s="22"/>
      <c r="H123" s="22"/>
      <c r="I123" s="9"/>
      <c r="J123" s="23"/>
      <c r="K123" s="23"/>
      <c r="L123" s="27"/>
      <c r="M123" s="19"/>
      <c r="N123" s="19"/>
      <c r="O123" s="27"/>
      <c r="P123" s="19"/>
      <c r="Q123" s="26"/>
      <c r="R123" s="26"/>
      <c r="S123" s="66"/>
      <c r="T123" s="66"/>
      <c r="U123" s="9"/>
      <c r="V123" s="9"/>
      <c r="W123" s="9"/>
      <c r="X123" s="9"/>
      <c r="Y123" s="8"/>
    </row>
    <row r="124" spans="1:25">
      <c r="A124" s="17"/>
      <c r="B124" s="25"/>
      <c r="C124" s="25"/>
      <c r="D124" s="19"/>
      <c r="E124" s="20"/>
      <c r="F124" s="21"/>
      <c r="G124" s="22"/>
      <c r="H124" s="22"/>
      <c r="I124" s="9"/>
      <c r="J124" s="23"/>
      <c r="K124" s="23"/>
      <c r="L124" s="27"/>
      <c r="M124" s="19"/>
      <c r="N124" s="19"/>
      <c r="O124" s="27"/>
      <c r="P124" s="19"/>
      <c r="Q124" s="26"/>
      <c r="R124" s="26"/>
      <c r="S124" s="66"/>
      <c r="T124" s="66"/>
      <c r="U124" s="9"/>
      <c r="V124" s="9"/>
      <c r="W124" s="9"/>
      <c r="X124" s="9"/>
      <c r="Y124" s="8"/>
    </row>
    <row r="125" spans="1:25">
      <c r="A125" s="17"/>
      <c r="B125" s="25"/>
      <c r="C125" s="25"/>
      <c r="D125" s="19"/>
      <c r="E125" s="19"/>
      <c r="F125" s="21"/>
      <c r="G125" s="22"/>
      <c r="H125" s="22"/>
      <c r="I125" s="9"/>
      <c r="J125" s="23"/>
      <c r="K125" s="23"/>
      <c r="L125" s="27"/>
      <c r="M125" s="19"/>
      <c r="N125" s="19"/>
      <c r="O125" s="27"/>
      <c r="P125" s="19"/>
      <c r="Q125" s="26"/>
      <c r="R125" s="26"/>
      <c r="S125" s="66"/>
      <c r="T125" s="66"/>
      <c r="U125" s="9"/>
      <c r="V125" s="9"/>
      <c r="W125" s="9"/>
      <c r="X125" s="9"/>
      <c r="Y125" s="8"/>
    </row>
    <row r="126" spans="1:25">
      <c r="A126" s="17"/>
      <c r="B126" s="25"/>
      <c r="C126" s="25"/>
      <c r="D126" s="19"/>
      <c r="E126" s="19"/>
      <c r="F126" s="21"/>
      <c r="G126" s="22"/>
      <c r="H126" s="22"/>
      <c r="I126" s="9"/>
      <c r="J126" s="23"/>
      <c r="K126" s="23"/>
      <c r="L126" s="27"/>
      <c r="M126" s="19"/>
      <c r="N126" s="19"/>
      <c r="O126" s="27"/>
      <c r="P126" s="19"/>
      <c r="Q126" s="26"/>
      <c r="R126" s="26"/>
      <c r="S126" s="66"/>
      <c r="T126" s="66"/>
      <c r="U126" s="9"/>
      <c r="V126" s="9"/>
      <c r="W126" s="9"/>
      <c r="X126" s="9"/>
      <c r="Y126" s="8"/>
    </row>
    <row r="127" spans="1:25">
      <c r="A127" s="17"/>
      <c r="B127" s="8"/>
      <c r="C127" s="8"/>
      <c r="D127" s="19"/>
      <c r="E127" s="19"/>
      <c r="F127" s="21"/>
      <c r="G127" s="9"/>
      <c r="H127" s="22"/>
      <c r="I127" s="9"/>
      <c r="J127" s="23"/>
      <c r="K127" s="23"/>
      <c r="L127" s="27"/>
      <c r="M127" s="19"/>
      <c r="N127" s="19"/>
      <c r="O127" s="27"/>
      <c r="P127" s="19"/>
      <c r="Q127" s="26"/>
      <c r="R127" s="26"/>
      <c r="S127" s="66"/>
      <c r="T127" s="66"/>
      <c r="U127" s="9"/>
      <c r="V127" s="28"/>
      <c r="W127" s="28"/>
      <c r="X127" s="9"/>
      <c r="Y127" s="8"/>
    </row>
    <row r="128" spans="1:25">
      <c r="A128" s="17"/>
      <c r="B128" s="8"/>
      <c r="C128" s="8"/>
      <c r="D128" s="19"/>
      <c r="E128" s="19"/>
      <c r="F128" s="21"/>
      <c r="G128" s="9"/>
      <c r="H128" s="22"/>
      <c r="I128" s="9"/>
      <c r="J128" s="23"/>
      <c r="K128" s="23"/>
      <c r="L128" s="29"/>
      <c r="M128" s="19"/>
      <c r="N128" s="19"/>
      <c r="O128" s="29"/>
      <c r="P128" s="19"/>
      <c r="Q128" s="31"/>
      <c r="R128" s="31"/>
      <c r="S128" s="66"/>
      <c r="T128" s="66"/>
      <c r="U128" s="9"/>
      <c r="V128" s="9"/>
      <c r="W128" s="9"/>
      <c r="X128" s="9"/>
      <c r="Y128" s="8"/>
    </row>
    <row r="129" spans="1:25">
      <c r="A129" s="17"/>
      <c r="B129" s="25"/>
      <c r="C129" s="25"/>
      <c r="D129" s="19"/>
      <c r="E129" s="19"/>
      <c r="F129" s="21"/>
      <c r="G129" s="22"/>
      <c r="I129" s="9"/>
      <c r="J129" s="23"/>
      <c r="K129" s="23"/>
      <c r="L129" s="27"/>
      <c r="M129" s="19"/>
      <c r="N129" s="19"/>
      <c r="O129" s="27"/>
      <c r="P129" s="19"/>
      <c r="Q129" s="26"/>
      <c r="R129" s="26"/>
      <c r="S129" s="66"/>
      <c r="T129" s="66"/>
      <c r="U129" s="9"/>
      <c r="V129" s="9"/>
      <c r="W129" s="9"/>
      <c r="X129" s="9"/>
      <c r="Y129" s="8"/>
    </row>
    <row r="130" spans="1:25">
      <c r="A130" s="17"/>
      <c r="B130" s="8"/>
      <c r="C130" s="8"/>
      <c r="D130" s="19"/>
      <c r="E130" s="20"/>
      <c r="F130" s="21"/>
      <c r="G130" s="9"/>
      <c r="I130" s="9"/>
      <c r="J130" s="23"/>
      <c r="K130" s="23"/>
      <c r="L130" s="24"/>
      <c r="M130" s="19"/>
      <c r="N130" s="19"/>
      <c r="O130" s="24"/>
      <c r="P130" s="19"/>
      <c r="Q130" s="26"/>
      <c r="R130" s="26"/>
      <c r="S130" s="66"/>
      <c r="T130" s="66"/>
      <c r="U130" s="9"/>
      <c r="V130" s="9"/>
      <c r="W130" s="9"/>
      <c r="X130" s="9"/>
      <c r="Y130" s="8"/>
    </row>
    <row r="131" spans="1:25">
      <c r="A131" s="17"/>
      <c r="B131" s="25"/>
      <c r="C131" s="25"/>
      <c r="D131" s="19"/>
      <c r="E131" s="20"/>
      <c r="F131" s="21"/>
      <c r="G131" s="22"/>
      <c r="I131" s="9"/>
      <c r="J131" s="23"/>
      <c r="K131" s="23"/>
      <c r="L131" s="27"/>
      <c r="M131" s="19"/>
      <c r="N131" s="19"/>
      <c r="O131" s="27"/>
      <c r="P131" s="19"/>
      <c r="Q131" s="26"/>
      <c r="R131" s="26"/>
      <c r="S131" s="66"/>
      <c r="T131" s="66"/>
      <c r="U131" s="9"/>
      <c r="V131" s="9"/>
      <c r="W131" s="9"/>
      <c r="X131" s="9"/>
      <c r="Y131" s="8"/>
    </row>
    <row r="132" spans="1:25">
      <c r="A132" s="17"/>
      <c r="B132" s="25"/>
      <c r="C132" s="25"/>
      <c r="D132" s="19"/>
      <c r="E132" s="19"/>
      <c r="F132" s="21"/>
      <c r="G132" s="22"/>
      <c r="I132" s="9"/>
      <c r="J132" s="23"/>
      <c r="K132" s="23"/>
      <c r="L132" s="27"/>
      <c r="M132" s="19"/>
      <c r="N132" s="19"/>
      <c r="O132" s="27"/>
      <c r="P132" s="19"/>
      <c r="Q132" s="26"/>
      <c r="R132" s="26"/>
      <c r="S132" s="66"/>
      <c r="T132" s="66"/>
      <c r="U132" s="9"/>
      <c r="V132" s="9"/>
      <c r="W132" s="9"/>
      <c r="X132" s="9"/>
      <c r="Y132" s="8"/>
    </row>
    <row r="133" spans="1:25">
      <c r="A133" s="17"/>
      <c r="B133" s="8"/>
      <c r="C133" s="8"/>
      <c r="D133" s="19"/>
      <c r="E133" s="19"/>
      <c r="F133" s="21"/>
      <c r="G133" s="9"/>
      <c r="I133" s="9"/>
      <c r="J133" s="23"/>
      <c r="K133" s="23"/>
      <c r="L133" s="30"/>
      <c r="M133" s="19"/>
      <c r="N133" s="19"/>
      <c r="O133" s="30"/>
      <c r="P133" s="19"/>
      <c r="Q133" s="26"/>
      <c r="R133" s="26"/>
      <c r="S133" s="66"/>
      <c r="T133" s="66"/>
      <c r="U133" s="9"/>
      <c r="V133" s="28"/>
      <c r="W133" s="28"/>
      <c r="X133" s="9"/>
      <c r="Y133" s="8"/>
    </row>
    <row r="134" spans="1:25">
      <c r="A134" s="3" t="s">
        <v>2</v>
      </c>
      <c r="B134" s="16"/>
      <c r="C134" s="16"/>
      <c r="G134" s="40"/>
      <c r="L134" s="15"/>
      <c r="O134" s="15"/>
      <c r="Q134" s="17"/>
      <c r="R134" s="17"/>
      <c r="S134" s="66"/>
      <c r="T134" s="66"/>
      <c r="U134" s="3"/>
      <c r="V134" s="3"/>
      <c r="W134" s="3"/>
      <c r="X134" s="3"/>
      <c r="Y134" s="3"/>
    </row>
    <row r="135" spans="1:25">
      <c r="A135" s="3" t="s">
        <v>2</v>
      </c>
      <c r="B135" s="16"/>
      <c r="C135" s="16"/>
      <c r="G135" s="40"/>
      <c r="L135" s="15"/>
      <c r="O135" s="15"/>
      <c r="Q135" s="17"/>
      <c r="R135" s="17"/>
      <c r="S135" s="66"/>
      <c r="T135" s="66"/>
      <c r="U135" s="3"/>
      <c r="V135" s="3"/>
      <c r="W135" s="3"/>
      <c r="X135" s="3"/>
      <c r="Y135" s="3"/>
    </row>
    <row r="136" spans="1:25">
      <c r="A136" s="3" t="s">
        <v>2</v>
      </c>
      <c r="B136" s="16"/>
      <c r="C136" s="16"/>
      <c r="G136" s="40"/>
      <c r="L136" s="15"/>
      <c r="O136" s="15"/>
      <c r="Q136" s="17"/>
      <c r="R136" s="17"/>
      <c r="S136" s="66"/>
      <c r="T136" s="66"/>
      <c r="U136" s="3"/>
      <c r="V136" s="3"/>
      <c r="W136" s="3"/>
      <c r="X136" s="3"/>
      <c r="Y136" s="3"/>
    </row>
    <row r="137" spans="1:25">
      <c r="A137" s="3" t="s">
        <v>2</v>
      </c>
      <c r="B137" s="16"/>
      <c r="C137" s="16"/>
      <c r="G137" s="40"/>
      <c r="L137" s="15"/>
      <c r="O137" s="15"/>
      <c r="Q137" s="17"/>
      <c r="R137" s="17"/>
      <c r="S137" s="66"/>
      <c r="T137" s="66"/>
      <c r="U137" s="3"/>
      <c r="V137" s="3"/>
      <c r="W137" s="3"/>
      <c r="X137" s="3"/>
      <c r="Y137" s="3"/>
    </row>
    <row r="138" spans="1:25">
      <c r="A138" s="3" t="s">
        <v>2</v>
      </c>
      <c r="B138" s="16"/>
      <c r="C138" s="16"/>
      <c r="G138" s="40"/>
      <c r="L138" s="15"/>
      <c r="O138" s="15"/>
      <c r="Q138" s="17"/>
      <c r="R138" s="17"/>
      <c r="U138" s="3"/>
      <c r="V138" s="3"/>
      <c r="W138" s="3"/>
      <c r="X138" s="3"/>
      <c r="Y138" s="3"/>
    </row>
    <row r="139" spans="1:25">
      <c r="A139" s="3" t="s">
        <v>2</v>
      </c>
      <c r="B139" s="16"/>
      <c r="C139" s="16"/>
      <c r="G139" s="40"/>
      <c r="L139" s="15"/>
      <c r="O139" s="15"/>
      <c r="Q139" s="17"/>
      <c r="R139" s="17"/>
      <c r="U139" s="3"/>
      <c r="V139" s="3"/>
      <c r="W139" s="3"/>
      <c r="X139" s="3"/>
      <c r="Y139" s="3"/>
    </row>
    <row r="140" spans="1:25">
      <c r="A140" s="3" t="s">
        <v>2</v>
      </c>
      <c r="B140" s="16"/>
      <c r="C140" s="16"/>
      <c r="G140" s="40"/>
      <c r="L140" s="15"/>
      <c r="O140" s="15"/>
      <c r="Q140" s="17"/>
      <c r="R140" s="17"/>
      <c r="U140" s="3"/>
      <c r="V140" s="3"/>
      <c r="W140" s="3"/>
      <c r="X140" s="3"/>
      <c r="Y140" s="3"/>
    </row>
    <row r="141" spans="1:25">
      <c r="A141" s="3" t="s">
        <v>2</v>
      </c>
      <c r="B141" s="16"/>
      <c r="C141" s="16"/>
      <c r="G141" s="40"/>
      <c r="L141" s="15"/>
      <c r="O141" s="15"/>
      <c r="Q141" s="17"/>
      <c r="R141" s="17"/>
      <c r="U141" s="3"/>
      <c r="V141" s="3"/>
      <c r="W141" s="3"/>
      <c r="X141" s="3"/>
      <c r="Y141" s="3"/>
    </row>
    <row r="142" spans="1:25">
      <c r="A142" s="3" t="s">
        <v>2</v>
      </c>
      <c r="B142" s="16"/>
      <c r="C142" s="16"/>
      <c r="G142" s="40"/>
      <c r="L142" s="15"/>
      <c r="O142" s="15"/>
      <c r="Q142" s="17"/>
      <c r="R142" s="17"/>
      <c r="U142" s="3"/>
      <c r="V142" s="3"/>
      <c r="W142" s="3"/>
      <c r="X142" s="3"/>
      <c r="Y142" s="3"/>
    </row>
    <row r="143" spans="1:25">
      <c r="A143" s="3" t="s">
        <v>2</v>
      </c>
      <c r="B143" s="16"/>
      <c r="C143" s="16"/>
      <c r="G143" s="40"/>
      <c r="L143" s="15"/>
      <c r="O143" s="15"/>
      <c r="Q143" s="17"/>
      <c r="R143" s="17"/>
      <c r="U143" s="3"/>
      <c r="V143" s="3"/>
      <c r="W143" s="3"/>
      <c r="X143" s="3"/>
      <c r="Y143" s="3"/>
    </row>
    <row r="145" ht="12" customHeight="1"/>
    <row r="146" ht="12.75" customHeight="1"/>
    <row r="163" ht="12" customHeight="1"/>
    <row r="164" ht="12.75" customHeight="1"/>
    <row r="165" ht="12" customHeight="1"/>
    <row r="166" ht="12.75" customHeight="1"/>
    <row r="177" ht="12" customHeight="1"/>
    <row r="178" ht="12.75" customHeight="1"/>
    <row r="179" ht="12" customHeight="1"/>
    <row r="180" ht="12.75" customHeight="1"/>
    <row r="183" ht="12" customHeight="1"/>
    <row r="184" ht="12.75" customHeight="1"/>
    <row r="185" ht="12" customHeight="1"/>
    <row r="186" ht="12.75" customHeight="1"/>
    <row r="187" ht="12" customHeight="1"/>
    <row r="188" ht="12.75" customHeight="1"/>
    <row r="190" ht="12.75" customHeight="1"/>
    <row r="200" ht="12" customHeight="1"/>
    <row r="201" ht="12.75" customHeight="1"/>
    <row r="202" ht="12" customHeight="1"/>
    <row r="203" ht="12.75" customHeight="1"/>
    <row r="207" ht="12" customHeight="1"/>
    <row r="208" ht="12.75" customHeight="1"/>
    <row r="210" ht="12" customHeight="1"/>
    <row r="211" ht="12.75" customHeight="1"/>
  </sheetData>
  <sheetProtection autoFilter="0"/>
  <protectedRanges>
    <protectedRange password="EE42" sqref="A1:J2 H22:J22 J6 H23:H29 U31:U34 X31:X34 U59 X59 U36 X36 J62 U62:U63 H62:I63 U97 X97 J93 I91:J92 B7:I8 B95:J97 B72:H73 B76:H76 B84:J85 B22:G66 B87:J90 B81:H83 U65:U71 X65:X71 B91:H94 I94:J94 U91:U94 X91:X94 V45:W45 Y45 B3:J5 A105:K65536 C21:J21 A6:H6 A10 A14:J14 A18 A22 A26 A30 A34 A38 A42 A46 A50 A54 A58 A62 A66 A70 A74 A78 A82 A86 A90 A94 A98 U13:X13 B15:J15 H57:J57 H59:J61 H58 B77:E80 G78:J80 F79:F80 U44:U45 X44:X45 X55:X56 U55:U57 B74:J75 U74:U75 X74:X75 B9:J13 I56:J56 B67:J71 H30:J55 J58 F77:H77 J76:J77 A102:I103 B17:J20 B16:I16 X62:X63 H64:J66 A104:J104 Y55" name="Range1"/>
    <protectedRange password="EE42" sqref="I6" name="Range1_1"/>
    <protectedRange password="EE42" sqref="J7:J8" name="Range1_2"/>
    <protectedRange password="EE42" sqref="B86:J86" name="Range1_3"/>
    <protectedRange password="EE42" sqref="B98:J98" name="Range1_4"/>
    <protectedRange password="EE42" sqref="H56" name="Range1_6"/>
    <protectedRange password="EE42" sqref="B101:F101 H101:J101 J102:J103 U101:U102 X101:X102" name="Range1_7"/>
    <protectedRange password="EE42" sqref="B99:F100 H99:J100" name="Range1_4_2"/>
    <protectedRange password="EE42" sqref="A99:A100" name="Range1_10_1"/>
    <protectedRange password="EE42" sqref="G101" name="Range1_6_1_1"/>
    <protectedRange password="EE42" sqref="G99:G100" name="Range1_4_1_2"/>
    <protectedRange password="EE42" sqref="Q16" name="Range1_5"/>
    <protectedRange password="EE42" sqref="J16" name="Range1_8"/>
    <protectedRange password="EE42" sqref="X64 U64" name="Range1_9"/>
    <protectedRange password="EE42" sqref="S52 S22 S36:T36 S97:T97 S62:T63 S59:T59 S74:T75 S13:T13 S31:T34 S55:T56 S91:T95 S44:T44 S65:T71" name="Range1_10"/>
    <protectedRange password="EE42" sqref="S101:T103" name="Range1_7_8"/>
    <protectedRange password="EE42" sqref="S64:T64" name="Range1_9_1"/>
    <protectedRange password="EE42" sqref="S45" name="Range1_10_2_2_2"/>
    <protectedRange password="EE42" sqref="T45" name="Range1_10_2_2_4"/>
    <protectedRange password="EE42" sqref="K52 K22 K36:L36 K97:L97 K62:L63 K104 K59:L59 K74:L75 K13:L13 K31:L34 K91:L95 K44:L44 K65:L71 K55:L56" name="Range1_11"/>
    <protectedRange password="EE42" sqref="K101:L103" name="Range1_7_1"/>
    <protectedRange password="EE42" sqref="K64:L64" name="Range1_9_2"/>
    <protectedRange password="EE42" sqref="K45" name="Range1_10_2_2_2_1"/>
    <protectedRange password="EE42" sqref="L45" name="Range1_10_2_2_4_1"/>
  </protectedRanges>
  <autoFilter ref="A1:Y143" xr:uid="{00000000-0009-0000-0000-000005000000}"/>
  <dataValidations count="17">
    <dataValidation type="list" allowBlank="1" showInputMessage="1" showErrorMessage="1" sqref="L128 O128" xr:uid="{00000000-0002-0000-0500-000000000000}">
      <formula1>$U$128:$V$128</formula1>
    </dataValidation>
    <dataValidation type="list" allowBlank="1" showInputMessage="1" showErrorMessage="1" sqref="O102" xr:uid="{00000000-0002-0000-0500-000001000000}">
      <formula1>$U$102:$V$102</formula1>
    </dataValidation>
    <dataValidation type="list" allowBlank="1" showInputMessage="1" showErrorMessage="1" sqref="O95:O96" xr:uid="{00000000-0002-0000-0500-000002000000}">
      <formula1>$U$95:$V$95</formula1>
    </dataValidation>
    <dataValidation type="list" allowBlank="1" showInputMessage="1" showErrorMessage="1" sqref="O94" xr:uid="{00000000-0002-0000-0500-000003000000}">
      <formula1>$U$94:$X$94</formula1>
    </dataValidation>
    <dataValidation type="list" allowBlank="1" showInputMessage="1" showErrorMessage="1" sqref="O66 O68:O69" xr:uid="{00000000-0002-0000-0500-000004000000}">
      <formula1>$U$66:$X$66</formula1>
    </dataValidation>
    <dataValidation type="list" allowBlank="1" showInputMessage="1" showErrorMessage="1" sqref="O65" xr:uid="{00000000-0002-0000-0500-000005000000}">
      <formula1>$U$65:$V$65</formula1>
    </dataValidation>
    <dataValidation type="list" allowBlank="1" showInputMessage="1" showErrorMessage="1" sqref="O64" xr:uid="{00000000-0002-0000-0500-000006000000}">
      <formula1>$U$64:$X$64</formula1>
    </dataValidation>
    <dataValidation type="list" allowBlank="1" showInputMessage="1" showErrorMessage="1" sqref="O55" xr:uid="{00000000-0002-0000-0500-000007000000}">
      <formula1>$U$55:$V$55</formula1>
    </dataValidation>
    <dataValidation type="list" allowBlank="1" showInputMessage="1" showErrorMessage="1" sqref="T52 O52 L52" xr:uid="{00000000-0002-0000-0500-000008000000}">
      <formula1>$U$52:$V$52</formula1>
    </dataValidation>
    <dataValidation type="list" allowBlank="1" showInputMessage="1" showErrorMessage="1" sqref="O53" xr:uid="{00000000-0002-0000-0500-000009000000}">
      <formula1>$U$53:$V$53</formula1>
    </dataValidation>
    <dataValidation type="list" allowBlank="1" showInputMessage="1" showErrorMessage="1" sqref="O50" xr:uid="{00000000-0002-0000-0500-00000A000000}">
      <formula1>$U$50:$V$50</formula1>
    </dataValidation>
    <dataValidation type="list" allowBlank="1" showInputMessage="1" showErrorMessage="1" sqref="O46" xr:uid="{00000000-0002-0000-0500-00000B000000}">
      <formula1>$U$46:$V$46</formula1>
    </dataValidation>
    <dataValidation type="list" allowBlank="1" showInputMessage="1" showErrorMessage="1" sqref="O98" xr:uid="{00000000-0002-0000-0500-00000D000000}">
      <formula1>$U$22:$Y$22</formula1>
    </dataValidation>
    <dataValidation type="list" allowBlank="1" showInputMessage="1" showErrorMessage="1" sqref="I29" xr:uid="{00000000-0002-0000-0500-00000E000000}">
      <formula1>$Q$29:$T$29</formula1>
    </dataValidation>
    <dataValidation type="list" allowBlank="1" showInputMessage="1" showErrorMessage="1" sqref="O99:O100" xr:uid="{00000000-0002-0000-0500-00000F000000}">
      <formula1>$T$22:$V$22</formula1>
    </dataValidation>
    <dataValidation type="list" allowBlank="1" showInputMessage="1" showErrorMessage="1" sqref="O101" xr:uid="{00000000-0002-0000-0500-000010000000}">
      <formula1>$T$101:$T$101</formula1>
    </dataValidation>
    <dataValidation type="list" allowBlank="1" showInputMessage="1" showErrorMessage="1" sqref="O37" xr:uid="{00000000-0002-0000-0500-00000C000000}">
      <formula1>$V$37:$V$37</formula1>
    </dataValidation>
  </dataValidations>
  <hyperlinks>
    <hyperlink ref="O9" location="SOURCE!A1" display="X" xr:uid="{00000000-0004-0000-0500-000000000000}"/>
    <hyperlink ref="O11" location="'FREQ BEGIN'!A1" display="X" xr:uid="{00000000-0004-0000-0500-000001000000}"/>
    <hyperlink ref="O12" location="'FREQ BEGIN'!A1" display="X" xr:uid="{00000000-0004-0000-0500-000002000000}"/>
    <hyperlink ref="O29" location="DESC!A1" display="X" xr:uid="{00000000-0004-0000-0500-000003000000}"/>
  </hyperlinks>
  <printOptions horizontalCentered="1"/>
  <pageMargins left="0.25" right="0.25" top="0.5" bottom="0.5" header="0.3" footer="0.17"/>
  <pageSetup paperSize="5" scale="72" fitToHeight="22" orientation="landscape" horizontalDpi="300" verticalDpi="300" r:id="rId1"/>
  <headerFooter>
    <oddHeader>&amp;L&amp;"Arial,Regular"Refinitiv&amp;C&amp;"Arial,Regular"DIST Reverse Mapping &amp;A&amp;R&amp;"Arial,Regular"New Installations - Conversions</oddHeader>
    <oddFooter>&amp;L&amp;"Arial,Regular"&amp;8Confidential&amp;C&amp;"Arial,Regular"&amp;8&amp;D&amp;R&amp;"Arial,Regular"&amp;8Page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63"/>
  <sheetViews>
    <sheetView topLeftCell="E1" zoomScaleNormal="100" workbookViewId="0">
      <pane ySplit="1" topLeftCell="A2" activePane="bottomLeft" state="frozen"/>
      <selection pane="bottomLeft" activeCell="V2" sqref="V2"/>
    </sheetView>
  </sheetViews>
  <sheetFormatPr defaultColWidth="9.140625" defaultRowHeight="15"/>
  <cols>
    <col min="1" max="1" width="10.5703125" style="360" customWidth="1"/>
    <col min="2" max="2" width="11.7109375" style="360" customWidth="1"/>
    <col min="3" max="3" width="20.28515625" style="432" customWidth="1"/>
    <col min="4" max="4" width="10.5703125" style="360" customWidth="1"/>
    <col min="5" max="5" width="8.42578125" style="360" bestFit="1" customWidth="1"/>
    <col min="6" max="9" width="9.140625" style="360"/>
    <col min="10" max="10" width="8.42578125" style="360" customWidth="1"/>
    <col min="11" max="11" width="9.140625" style="360"/>
    <col min="12" max="12" width="8.42578125" style="360" bestFit="1" customWidth="1"/>
    <col min="13" max="15" width="9.140625" style="360"/>
    <col min="16" max="16" width="11.7109375" style="360" customWidth="1"/>
    <col min="17" max="17" width="27.7109375" style="360" customWidth="1"/>
    <col min="18" max="18" width="23.140625" style="360" customWidth="1"/>
    <col min="19" max="19" width="10.140625" style="360" customWidth="1"/>
    <col min="20" max="20" width="25.85546875" style="360" customWidth="1"/>
    <col min="21" max="21" width="9.140625" style="360"/>
    <col min="22" max="22" width="41.85546875" style="360" customWidth="1"/>
    <col min="23" max="16384" width="9.140625" style="360"/>
  </cols>
  <sheetData>
    <row r="1" spans="1:28" ht="105">
      <c r="A1" s="444" t="s">
        <v>957</v>
      </c>
      <c r="B1" s="417" t="s">
        <v>560</v>
      </c>
      <c r="C1" s="416" t="s">
        <v>958</v>
      </c>
      <c r="D1" s="416" t="s">
        <v>561</v>
      </c>
      <c r="E1" s="416" t="s">
        <v>562</v>
      </c>
      <c r="F1" s="416" t="s">
        <v>563</v>
      </c>
      <c r="G1" s="416" t="s">
        <v>564</v>
      </c>
      <c r="H1" s="416" t="s">
        <v>565</v>
      </c>
      <c r="I1" s="416" t="s">
        <v>566</v>
      </c>
      <c r="J1" s="416" t="s">
        <v>567</v>
      </c>
      <c r="K1" s="416" t="s">
        <v>568</v>
      </c>
      <c r="L1" s="416" t="s">
        <v>569</v>
      </c>
      <c r="M1" s="416" t="s">
        <v>570</v>
      </c>
      <c r="N1" s="416" t="s">
        <v>571</v>
      </c>
      <c r="O1" s="445" t="s">
        <v>572</v>
      </c>
      <c r="P1" s="446" t="s">
        <v>573</v>
      </c>
      <c r="Q1" s="444" t="s">
        <v>574</v>
      </c>
      <c r="R1" s="444" t="s">
        <v>575</v>
      </c>
      <c r="S1" s="418" t="s">
        <v>959</v>
      </c>
      <c r="T1" s="419" t="s">
        <v>119</v>
      </c>
      <c r="U1" s="420" t="s">
        <v>576</v>
      </c>
      <c r="V1" s="423" t="s">
        <v>972</v>
      </c>
    </row>
    <row r="2" spans="1:28" ht="45">
      <c r="A2" s="442"/>
      <c r="B2" s="175" t="s">
        <v>587</v>
      </c>
      <c r="C2" s="479" t="s">
        <v>967</v>
      </c>
      <c r="D2" s="427" t="s">
        <v>53</v>
      </c>
      <c r="E2" s="427" t="s">
        <v>53</v>
      </c>
      <c r="F2" s="427" t="s">
        <v>53</v>
      </c>
      <c r="G2" s="427" t="s">
        <v>53</v>
      </c>
      <c r="H2" s="427" t="s">
        <v>53</v>
      </c>
      <c r="I2" s="427" t="s">
        <v>53</v>
      </c>
      <c r="J2" s="427" t="s">
        <v>53</v>
      </c>
      <c r="K2" s="427" t="s">
        <v>53</v>
      </c>
      <c r="L2" s="427" t="s">
        <v>53</v>
      </c>
      <c r="M2" s="427" t="s">
        <v>53</v>
      </c>
      <c r="N2" s="427" t="s">
        <v>53</v>
      </c>
      <c r="O2" s="508" t="s">
        <v>53</v>
      </c>
      <c r="P2" s="427" t="s">
        <v>60</v>
      </c>
      <c r="Q2" s="427" t="s">
        <v>987</v>
      </c>
      <c r="R2" s="422" t="s">
        <v>984</v>
      </c>
      <c r="S2" s="474"/>
      <c r="T2" s="496" t="s">
        <v>1018</v>
      </c>
      <c r="U2" s="498">
        <v>826</v>
      </c>
      <c r="V2" s="448"/>
    </row>
    <row r="3" spans="1:28" ht="34.5" thickBot="1">
      <c r="A3" s="463"/>
      <c r="B3" s="464" t="s">
        <v>587</v>
      </c>
      <c r="C3" s="480" t="s">
        <v>967</v>
      </c>
      <c r="D3" s="459" t="s">
        <v>53</v>
      </c>
      <c r="E3" s="459" t="s">
        <v>53</v>
      </c>
      <c r="F3" s="459" t="s">
        <v>53</v>
      </c>
      <c r="G3" s="459" t="s">
        <v>53</v>
      </c>
      <c r="H3" s="459" t="s">
        <v>53</v>
      </c>
      <c r="I3" s="459" t="s">
        <v>53</v>
      </c>
      <c r="J3" s="459" t="s">
        <v>53</v>
      </c>
      <c r="K3" s="459" t="s">
        <v>53</v>
      </c>
      <c r="L3" s="459" t="s">
        <v>53</v>
      </c>
      <c r="M3" s="459" t="s">
        <v>53</v>
      </c>
      <c r="N3" s="459" t="s">
        <v>53</v>
      </c>
      <c r="O3" s="507" t="s">
        <v>53</v>
      </c>
      <c r="P3" s="490" t="s">
        <v>60</v>
      </c>
      <c r="Q3" s="466" t="s">
        <v>988</v>
      </c>
      <c r="R3" s="467" t="s">
        <v>984</v>
      </c>
      <c r="S3" s="475"/>
      <c r="T3" s="465"/>
      <c r="U3" s="498">
        <v>834</v>
      </c>
    </row>
    <row r="4" spans="1:28">
      <c r="A4" s="177"/>
      <c r="B4" s="174" t="s">
        <v>577</v>
      </c>
      <c r="C4" s="479" t="s">
        <v>960</v>
      </c>
      <c r="D4" s="455" t="s">
        <v>53</v>
      </c>
      <c r="E4" s="201" t="s">
        <v>54</v>
      </c>
      <c r="F4" s="201" t="s">
        <v>54</v>
      </c>
      <c r="G4" s="201" t="s">
        <v>54</v>
      </c>
      <c r="H4" s="201" t="s">
        <v>54</v>
      </c>
      <c r="I4" s="201" t="s">
        <v>54</v>
      </c>
      <c r="J4" s="201" t="s">
        <v>54</v>
      </c>
      <c r="K4" s="201" t="s">
        <v>54</v>
      </c>
      <c r="L4" s="201" t="s">
        <v>54</v>
      </c>
      <c r="M4" s="201" t="s">
        <v>54</v>
      </c>
      <c r="N4" s="201" t="s">
        <v>54</v>
      </c>
      <c r="O4" s="461" t="s">
        <v>54</v>
      </c>
      <c r="P4" s="491" t="s">
        <v>68</v>
      </c>
      <c r="Q4" s="530" t="s">
        <v>1021</v>
      </c>
      <c r="R4" s="174">
        <v>2025</v>
      </c>
      <c r="S4" s="474"/>
      <c r="T4" s="473"/>
      <c r="U4" s="499">
        <v>77</v>
      </c>
    </row>
    <row r="5" spans="1:28">
      <c r="A5" s="177"/>
      <c r="B5" s="174" t="s">
        <v>577</v>
      </c>
      <c r="C5" s="479" t="s">
        <v>960</v>
      </c>
      <c r="D5" s="174" t="s">
        <v>54</v>
      </c>
      <c r="E5" s="427" t="s">
        <v>53</v>
      </c>
      <c r="F5" s="174" t="s">
        <v>54</v>
      </c>
      <c r="G5" s="174" t="s">
        <v>54</v>
      </c>
      <c r="H5" s="174" t="s">
        <v>54</v>
      </c>
      <c r="I5" s="174" t="s">
        <v>54</v>
      </c>
      <c r="J5" s="174" t="s">
        <v>54</v>
      </c>
      <c r="K5" s="174" t="s">
        <v>54</v>
      </c>
      <c r="L5" s="174" t="s">
        <v>54</v>
      </c>
      <c r="M5" s="174" t="s">
        <v>54</v>
      </c>
      <c r="N5" s="174" t="s">
        <v>54</v>
      </c>
      <c r="O5" s="447" t="s">
        <v>54</v>
      </c>
      <c r="P5" s="491" t="s">
        <v>68</v>
      </c>
      <c r="Q5" s="530" t="s">
        <v>1022</v>
      </c>
      <c r="R5" s="174">
        <v>2025</v>
      </c>
      <c r="S5" s="474"/>
      <c r="T5" s="177"/>
      <c r="U5" s="499">
        <v>47</v>
      </c>
    </row>
    <row r="6" spans="1:28">
      <c r="A6" s="177"/>
      <c r="B6" s="174" t="s">
        <v>577</v>
      </c>
      <c r="C6" s="479" t="s">
        <v>960</v>
      </c>
      <c r="D6" s="174" t="s">
        <v>54</v>
      </c>
      <c r="E6" s="174" t="s">
        <v>54</v>
      </c>
      <c r="F6" s="427" t="s">
        <v>53</v>
      </c>
      <c r="G6" s="174" t="s">
        <v>54</v>
      </c>
      <c r="H6" s="174" t="s">
        <v>54</v>
      </c>
      <c r="I6" s="174" t="s">
        <v>54</v>
      </c>
      <c r="J6" s="174" t="s">
        <v>54</v>
      </c>
      <c r="K6" s="174" t="s">
        <v>54</v>
      </c>
      <c r="L6" s="174" t="s">
        <v>54</v>
      </c>
      <c r="M6" s="174" t="s">
        <v>54</v>
      </c>
      <c r="N6" s="174" t="s">
        <v>54</v>
      </c>
      <c r="O6" s="447" t="s">
        <v>54</v>
      </c>
      <c r="P6" s="491" t="s">
        <v>68</v>
      </c>
      <c r="Q6" s="530" t="s">
        <v>1023</v>
      </c>
      <c r="R6" s="174">
        <v>2025</v>
      </c>
      <c r="S6" s="474"/>
      <c r="T6" s="177"/>
      <c r="U6" s="499">
        <v>75</v>
      </c>
      <c r="W6" s="360" t="s">
        <v>2</v>
      </c>
    </row>
    <row r="7" spans="1:28" ht="30">
      <c r="A7" s="177"/>
      <c r="B7" s="174" t="s">
        <v>577</v>
      </c>
      <c r="C7" s="479" t="s">
        <v>960</v>
      </c>
      <c r="D7" s="174" t="s">
        <v>54</v>
      </c>
      <c r="E7" s="174" t="s">
        <v>54</v>
      </c>
      <c r="F7" s="174" t="s">
        <v>54</v>
      </c>
      <c r="G7" s="427" t="s">
        <v>53</v>
      </c>
      <c r="H7" s="174" t="s">
        <v>54</v>
      </c>
      <c r="I7" s="174" t="s">
        <v>54</v>
      </c>
      <c r="J7" s="421" t="s">
        <v>54</v>
      </c>
      <c r="K7" s="174" t="s">
        <v>54</v>
      </c>
      <c r="L7" s="174" t="s">
        <v>54</v>
      </c>
      <c r="M7" s="174" t="s">
        <v>54</v>
      </c>
      <c r="N7" s="174" t="s">
        <v>54</v>
      </c>
      <c r="O7" s="447" t="s">
        <v>54</v>
      </c>
      <c r="P7" s="491" t="s">
        <v>68</v>
      </c>
      <c r="Q7" s="530" t="s">
        <v>1024</v>
      </c>
      <c r="R7" s="422">
        <v>2025</v>
      </c>
      <c r="S7" s="474"/>
      <c r="T7" s="177"/>
      <c r="U7" s="499">
        <v>29</v>
      </c>
      <c r="W7" s="424"/>
      <c r="X7" s="424" t="s">
        <v>961</v>
      </c>
      <c r="Y7" s="424" t="s">
        <v>961</v>
      </c>
    </row>
    <row r="8" spans="1:28">
      <c r="A8" s="177"/>
      <c r="B8" s="174" t="s">
        <v>577</v>
      </c>
      <c r="C8" s="479" t="s">
        <v>960</v>
      </c>
      <c r="D8" s="174" t="s">
        <v>54</v>
      </c>
      <c r="E8" s="174" t="s">
        <v>54</v>
      </c>
      <c r="F8" s="174" t="s">
        <v>54</v>
      </c>
      <c r="G8" s="174" t="s">
        <v>54</v>
      </c>
      <c r="H8" s="427" t="s">
        <v>53</v>
      </c>
      <c r="I8" s="174" t="s">
        <v>54</v>
      </c>
      <c r="J8" s="174" t="s">
        <v>54</v>
      </c>
      <c r="K8" s="174" t="s">
        <v>54</v>
      </c>
      <c r="L8" s="174" t="s">
        <v>54</v>
      </c>
      <c r="M8" s="174" t="s">
        <v>54</v>
      </c>
      <c r="N8" s="174" t="s">
        <v>54</v>
      </c>
      <c r="O8" s="447" t="s">
        <v>54</v>
      </c>
      <c r="P8" s="491" t="s">
        <v>68</v>
      </c>
      <c r="Q8" s="530" t="s">
        <v>1025</v>
      </c>
      <c r="R8" s="422">
        <v>2025</v>
      </c>
      <c r="S8" s="474"/>
      <c r="T8" s="177"/>
      <c r="U8" s="499">
        <v>29</v>
      </c>
      <c r="V8" s="425"/>
      <c r="AB8" s="425"/>
    </row>
    <row r="9" spans="1:28" ht="33.75">
      <c r="A9" s="177"/>
      <c r="B9" s="174" t="s">
        <v>577</v>
      </c>
      <c r="C9" s="479" t="s">
        <v>960</v>
      </c>
      <c r="D9" s="174" t="s">
        <v>54</v>
      </c>
      <c r="E9" s="174" t="s">
        <v>54</v>
      </c>
      <c r="F9" s="174" t="s">
        <v>54</v>
      </c>
      <c r="G9" s="174" t="s">
        <v>54</v>
      </c>
      <c r="H9" s="174" t="s">
        <v>54</v>
      </c>
      <c r="I9" s="427" t="s">
        <v>53</v>
      </c>
      <c r="J9" s="174" t="s">
        <v>54</v>
      </c>
      <c r="K9" s="174" t="s">
        <v>54</v>
      </c>
      <c r="L9" s="174" t="s">
        <v>54</v>
      </c>
      <c r="M9" s="174" t="s">
        <v>54</v>
      </c>
      <c r="N9" s="174" t="s">
        <v>54</v>
      </c>
      <c r="O9" s="447" t="s">
        <v>54</v>
      </c>
      <c r="P9" s="491" t="s">
        <v>68</v>
      </c>
      <c r="Q9" s="530" t="s">
        <v>1020</v>
      </c>
      <c r="R9" s="427" t="s">
        <v>983</v>
      </c>
      <c r="S9" s="474"/>
      <c r="T9" s="177"/>
      <c r="U9" s="499">
        <v>17</v>
      </c>
      <c r="V9" s="425"/>
      <c r="AB9" s="425"/>
    </row>
    <row r="10" spans="1:28" ht="33.75">
      <c r="A10" s="177"/>
      <c r="B10" s="174" t="s">
        <v>577</v>
      </c>
      <c r="C10" s="479" t="s">
        <v>960</v>
      </c>
      <c r="D10" s="174" t="s">
        <v>54</v>
      </c>
      <c r="E10" s="174" t="s">
        <v>54</v>
      </c>
      <c r="F10" s="174" t="s">
        <v>54</v>
      </c>
      <c r="G10" s="174" t="s">
        <v>54</v>
      </c>
      <c r="H10" s="174" t="s">
        <v>54</v>
      </c>
      <c r="I10" s="427" t="s">
        <v>53</v>
      </c>
      <c r="J10" s="174" t="s">
        <v>54</v>
      </c>
      <c r="K10" s="174" t="s">
        <v>54</v>
      </c>
      <c r="L10" s="174" t="s">
        <v>54</v>
      </c>
      <c r="M10" s="174" t="s">
        <v>54</v>
      </c>
      <c r="N10" s="174" t="s">
        <v>54</v>
      </c>
      <c r="O10" s="447" t="s">
        <v>54</v>
      </c>
      <c r="P10" s="491" t="s">
        <v>68</v>
      </c>
      <c r="Q10" s="530" t="s">
        <v>1020</v>
      </c>
      <c r="R10" s="427" t="s">
        <v>982</v>
      </c>
      <c r="S10" s="474"/>
      <c r="T10" s="177"/>
      <c r="U10" s="499">
        <v>30</v>
      </c>
      <c r="V10" s="425"/>
      <c r="AB10" s="425"/>
    </row>
    <row r="11" spans="1:28">
      <c r="A11" s="177"/>
      <c r="B11" s="174" t="s">
        <v>577</v>
      </c>
      <c r="C11" s="479" t="s">
        <v>960</v>
      </c>
      <c r="D11" s="174" t="s">
        <v>54</v>
      </c>
      <c r="E11" s="174" t="s">
        <v>54</v>
      </c>
      <c r="F11" s="174" t="s">
        <v>54</v>
      </c>
      <c r="G11" s="174" t="s">
        <v>54</v>
      </c>
      <c r="H11" s="174" t="s">
        <v>54</v>
      </c>
      <c r="I11" s="174" t="s">
        <v>54</v>
      </c>
      <c r="J11" s="427" t="s">
        <v>53</v>
      </c>
      <c r="K11" s="174" t="s">
        <v>54</v>
      </c>
      <c r="L11" s="174" t="s">
        <v>54</v>
      </c>
      <c r="M11" s="174" t="s">
        <v>54</v>
      </c>
      <c r="N11" s="174" t="s">
        <v>54</v>
      </c>
      <c r="O11" s="447" t="s">
        <v>54</v>
      </c>
      <c r="P11" s="491" t="s">
        <v>68</v>
      </c>
      <c r="Q11" s="530" t="s">
        <v>1026</v>
      </c>
      <c r="R11" s="422">
        <v>2025</v>
      </c>
      <c r="S11" s="474"/>
      <c r="T11" s="177"/>
      <c r="U11" s="499">
        <v>26</v>
      </c>
      <c r="V11" s="426"/>
      <c r="AB11" s="425"/>
    </row>
    <row r="12" spans="1:28">
      <c r="A12" s="177"/>
      <c r="B12" s="174" t="s">
        <v>577</v>
      </c>
      <c r="C12" s="479" t="s">
        <v>960</v>
      </c>
      <c r="D12" s="174" t="s">
        <v>54</v>
      </c>
      <c r="E12" s="174" t="s">
        <v>54</v>
      </c>
      <c r="F12" s="174" t="s">
        <v>54</v>
      </c>
      <c r="G12" s="174" t="s">
        <v>54</v>
      </c>
      <c r="H12" s="174" t="s">
        <v>54</v>
      </c>
      <c r="I12" s="174" t="s">
        <v>54</v>
      </c>
      <c r="J12" s="174" t="s">
        <v>54</v>
      </c>
      <c r="K12" s="427" t="s">
        <v>53</v>
      </c>
      <c r="L12" s="174" t="s">
        <v>54</v>
      </c>
      <c r="M12" s="174" t="s">
        <v>54</v>
      </c>
      <c r="N12" s="174" t="s">
        <v>54</v>
      </c>
      <c r="O12" s="447" t="s">
        <v>54</v>
      </c>
      <c r="P12" s="491" t="s">
        <v>68</v>
      </c>
      <c r="Q12" s="530" t="s">
        <v>1027</v>
      </c>
      <c r="R12" s="422">
        <v>2025</v>
      </c>
      <c r="S12" s="474"/>
      <c r="T12" s="177"/>
      <c r="U12" s="499">
        <v>21</v>
      </c>
      <c r="V12" s="426"/>
      <c r="AB12" s="425"/>
    </row>
    <row r="13" spans="1:28">
      <c r="A13" s="177"/>
      <c r="B13" s="174" t="s">
        <v>577</v>
      </c>
      <c r="C13" s="479" t="s">
        <v>960</v>
      </c>
      <c r="D13" s="174" t="s">
        <v>54</v>
      </c>
      <c r="E13" s="174" t="s">
        <v>54</v>
      </c>
      <c r="F13" s="174" t="s">
        <v>54</v>
      </c>
      <c r="G13" s="174" t="s">
        <v>54</v>
      </c>
      <c r="H13" s="174" t="s">
        <v>54</v>
      </c>
      <c r="I13" s="174" t="s">
        <v>54</v>
      </c>
      <c r="J13" s="174" t="s">
        <v>54</v>
      </c>
      <c r="K13" s="174" t="s">
        <v>54</v>
      </c>
      <c r="L13" s="427" t="s">
        <v>53</v>
      </c>
      <c r="M13" s="174" t="s">
        <v>54</v>
      </c>
      <c r="N13" s="174" t="s">
        <v>54</v>
      </c>
      <c r="O13" s="447" t="s">
        <v>54</v>
      </c>
      <c r="P13" s="491" t="s">
        <v>68</v>
      </c>
      <c r="Q13" s="530" t="s">
        <v>1028</v>
      </c>
      <c r="R13" s="422">
        <v>2025</v>
      </c>
      <c r="S13" s="474"/>
      <c r="T13" s="178"/>
      <c r="U13" s="499">
        <v>29</v>
      </c>
      <c r="V13" s="426"/>
      <c r="AB13" s="425"/>
    </row>
    <row r="14" spans="1:28">
      <c r="A14" s="177"/>
      <c r="B14" s="174" t="s">
        <v>577</v>
      </c>
      <c r="C14" s="479" t="s">
        <v>960</v>
      </c>
      <c r="D14" s="174" t="s">
        <v>54</v>
      </c>
      <c r="E14" s="174" t="s">
        <v>54</v>
      </c>
      <c r="F14" s="174" t="s">
        <v>54</v>
      </c>
      <c r="G14" s="174" t="s">
        <v>54</v>
      </c>
      <c r="H14" s="174" t="s">
        <v>54</v>
      </c>
      <c r="I14" s="174" t="s">
        <v>54</v>
      </c>
      <c r="J14" s="174" t="s">
        <v>54</v>
      </c>
      <c r="K14" s="174" t="s">
        <v>54</v>
      </c>
      <c r="L14" s="174" t="s">
        <v>54</v>
      </c>
      <c r="M14" s="427" t="s">
        <v>53</v>
      </c>
      <c r="N14" s="174" t="s">
        <v>54</v>
      </c>
      <c r="O14" s="447" t="s">
        <v>54</v>
      </c>
      <c r="P14" s="491" t="s">
        <v>68</v>
      </c>
      <c r="Q14" s="530" t="s">
        <v>1029</v>
      </c>
      <c r="R14" s="422">
        <v>2025</v>
      </c>
      <c r="S14" s="474"/>
      <c r="T14" s="177"/>
      <c r="U14" s="499">
        <v>97</v>
      </c>
      <c r="V14" s="426"/>
      <c r="AB14" s="425"/>
    </row>
    <row r="15" spans="1:28">
      <c r="A15" s="442"/>
      <c r="B15" s="174" t="s">
        <v>577</v>
      </c>
      <c r="C15" s="479" t="s">
        <v>960</v>
      </c>
      <c r="D15" s="174" t="s">
        <v>54</v>
      </c>
      <c r="E15" s="174" t="s">
        <v>54</v>
      </c>
      <c r="F15" s="174" t="s">
        <v>54</v>
      </c>
      <c r="G15" s="174" t="s">
        <v>54</v>
      </c>
      <c r="H15" s="174" t="s">
        <v>54</v>
      </c>
      <c r="I15" s="174" t="s">
        <v>54</v>
      </c>
      <c r="J15" s="174" t="s">
        <v>54</v>
      </c>
      <c r="K15" s="174" t="s">
        <v>54</v>
      </c>
      <c r="L15" s="174" t="s">
        <v>54</v>
      </c>
      <c r="M15" s="174" t="s">
        <v>54</v>
      </c>
      <c r="N15" s="427" t="s">
        <v>53</v>
      </c>
      <c r="O15" s="447" t="s">
        <v>54</v>
      </c>
      <c r="P15" s="491" t="s">
        <v>68</v>
      </c>
      <c r="Q15" s="530" t="s">
        <v>1030</v>
      </c>
      <c r="R15" s="422">
        <v>2025</v>
      </c>
      <c r="S15" s="474"/>
      <c r="T15" s="177"/>
      <c r="U15" s="499">
        <v>150</v>
      </c>
      <c r="V15" s="428"/>
      <c r="AB15" s="425"/>
    </row>
    <row r="16" spans="1:28" ht="15.75" thickBot="1">
      <c r="A16" s="456"/>
      <c r="B16" s="430" t="s">
        <v>577</v>
      </c>
      <c r="C16" s="482" t="s">
        <v>960</v>
      </c>
      <c r="D16" s="430" t="s">
        <v>54</v>
      </c>
      <c r="E16" s="430" t="s">
        <v>54</v>
      </c>
      <c r="F16" s="430" t="s">
        <v>54</v>
      </c>
      <c r="G16" s="430" t="s">
        <v>54</v>
      </c>
      <c r="H16" s="430" t="s">
        <v>54</v>
      </c>
      <c r="I16" s="430" t="s">
        <v>54</v>
      </c>
      <c r="J16" s="430" t="s">
        <v>54</v>
      </c>
      <c r="K16" s="430" t="s">
        <v>54</v>
      </c>
      <c r="L16" s="430" t="s">
        <v>54</v>
      </c>
      <c r="M16" s="430" t="s">
        <v>54</v>
      </c>
      <c r="N16" s="430" t="s">
        <v>54</v>
      </c>
      <c r="O16" s="486" t="s">
        <v>53</v>
      </c>
      <c r="P16" s="492" t="s">
        <v>68</v>
      </c>
      <c r="Q16" s="531" t="s">
        <v>1031</v>
      </c>
      <c r="R16" s="430">
        <v>2025</v>
      </c>
      <c r="S16" s="476"/>
      <c r="T16" s="456"/>
      <c r="U16" s="499">
        <v>225</v>
      </c>
      <c r="V16" s="426"/>
      <c r="AB16" s="425"/>
    </row>
    <row r="17" spans="1:35">
      <c r="A17" s="460"/>
      <c r="B17" s="200" t="s">
        <v>578</v>
      </c>
      <c r="C17" s="483" t="s">
        <v>967</v>
      </c>
      <c r="D17" s="427" t="s">
        <v>53</v>
      </c>
      <c r="E17" s="201" t="s">
        <v>54</v>
      </c>
      <c r="F17" s="201" t="s">
        <v>54</v>
      </c>
      <c r="G17" s="201" t="s">
        <v>54</v>
      </c>
      <c r="H17" s="201" t="s">
        <v>54</v>
      </c>
      <c r="I17" s="201" t="s">
        <v>54</v>
      </c>
      <c r="J17" s="427" t="s">
        <v>53</v>
      </c>
      <c r="K17" s="201" t="s">
        <v>54</v>
      </c>
      <c r="L17" s="201" t="s">
        <v>54</v>
      </c>
      <c r="M17" s="201" t="s">
        <v>54</v>
      </c>
      <c r="N17" s="201" t="s">
        <v>54</v>
      </c>
      <c r="O17" s="461" t="s">
        <v>54</v>
      </c>
      <c r="P17" s="493" t="s">
        <v>64</v>
      </c>
      <c r="Q17" s="530" t="s">
        <v>1021</v>
      </c>
      <c r="R17" s="452">
        <v>2025</v>
      </c>
      <c r="S17" s="477"/>
      <c r="T17" s="203" t="s">
        <v>579</v>
      </c>
      <c r="U17" s="499">
        <v>1</v>
      </c>
      <c r="V17" s="426"/>
      <c r="AB17" s="425"/>
    </row>
    <row r="18" spans="1:35">
      <c r="A18" s="177"/>
      <c r="B18" s="175" t="s">
        <v>578</v>
      </c>
      <c r="C18" s="479" t="s">
        <v>967</v>
      </c>
      <c r="D18" s="174" t="s">
        <v>54</v>
      </c>
      <c r="E18" s="427" t="s">
        <v>53</v>
      </c>
      <c r="F18" s="174" t="s">
        <v>54</v>
      </c>
      <c r="G18" s="174" t="s">
        <v>54</v>
      </c>
      <c r="H18" s="174" t="s">
        <v>54</v>
      </c>
      <c r="I18" s="174" t="s">
        <v>54</v>
      </c>
      <c r="J18" s="174" t="s">
        <v>54</v>
      </c>
      <c r="K18" s="427" t="s">
        <v>53</v>
      </c>
      <c r="L18" s="174" t="s">
        <v>54</v>
      </c>
      <c r="M18" s="174" t="s">
        <v>54</v>
      </c>
      <c r="N18" s="174" t="s">
        <v>54</v>
      </c>
      <c r="O18" s="447" t="s">
        <v>54</v>
      </c>
      <c r="P18" s="491" t="s">
        <v>64</v>
      </c>
      <c r="Q18" s="530" t="s">
        <v>1022</v>
      </c>
      <c r="R18" s="422">
        <v>2025</v>
      </c>
      <c r="S18" s="474"/>
      <c r="T18" s="174" t="s">
        <v>580</v>
      </c>
      <c r="U18" s="499">
        <v>1</v>
      </c>
      <c r="V18" s="426"/>
      <c r="AA18" s="120"/>
      <c r="AB18" s="425"/>
      <c r="AC18" s="120"/>
      <c r="AH18" s="120"/>
      <c r="AI18" s="120"/>
    </row>
    <row r="19" spans="1:35">
      <c r="A19" s="177"/>
      <c r="B19" s="175" t="s">
        <v>578</v>
      </c>
      <c r="C19" s="479" t="s">
        <v>967</v>
      </c>
      <c r="D19" s="174" t="s">
        <v>54</v>
      </c>
      <c r="E19" s="174" t="s">
        <v>54</v>
      </c>
      <c r="F19" s="427" t="s">
        <v>53</v>
      </c>
      <c r="G19" s="174" t="s">
        <v>54</v>
      </c>
      <c r="H19" s="174" t="s">
        <v>54</v>
      </c>
      <c r="I19" s="174" t="s">
        <v>54</v>
      </c>
      <c r="J19" s="174" t="s">
        <v>54</v>
      </c>
      <c r="K19" s="174" t="s">
        <v>54</v>
      </c>
      <c r="L19" s="427" t="s">
        <v>53</v>
      </c>
      <c r="M19" s="174" t="s">
        <v>54</v>
      </c>
      <c r="N19" s="174" t="s">
        <v>54</v>
      </c>
      <c r="O19" s="447" t="s">
        <v>54</v>
      </c>
      <c r="P19" s="491" t="s">
        <v>64</v>
      </c>
      <c r="Q19" s="530" t="s">
        <v>1023</v>
      </c>
      <c r="R19" s="422">
        <v>2025</v>
      </c>
      <c r="S19" s="474"/>
      <c r="T19" s="174" t="s">
        <v>581</v>
      </c>
      <c r="U19" s="499">
        <v>2</v>
      </c>
      <c r="V19" s="426"/>
      <c r="AB19" s="425"/>
    </row>
    <row r="20" spans="1:35">
      <c r="A20" s="177"/>
      <c r="B20" s="175" t="s">
        <v>578</v>
      </c>
      <c r="C20" s="479" t="s">
        <v>967</v>
      </c>
      <c r="D20" s="174" t="s">
        <v>54</v>
      </c>
      <c r="E20" s="174" t="s">
        <v>54</v>
      </c>
      <c r="F20" s="174" t="s">
        <v>54</v>
      </c>
      <c r="G20" s="427" t="s">
        <v>53</v>
      </c>
      <c r="H20" s="174" t="s">
        <v>54</v>
      </c>
      <c r="I20" s="174" t="s">
        <v>54</v>
      </c>
      <c r="J20" s="174" t="s">
        <v>54</v>
      </c>
      <c r="K20" s="174" t="s">
        <v>54</v>
      </c>
      <c r="L20" s="174" t="s">
        <v>54</v>
      </c>
      <c r="M20" s="427" t="s">
        <v>53</v>
      </c>
      <c r="N20" s="174" t="s">
        <v>54</v>
      </c>
      <c r="O20" s="447" t="s">
        <v>54</v>
      </c>
      <c r="P20" s="491" t="s">
        <v>64</v>
      </c>
      <c r="Q20" s="530" t="s">
        <v>1024</v>
      </c>
      <c r="R20" s="422">
        <v>2025</v>
      </c>
      <c r="S20" s="474"/>
      <c r="T20" s="174" t="s">
        <v>582</v>
      </c>
      <c r="U20" s="500">
        <v>3</v>
      </c>
      <c r="V20" s="429"/>
    </row>
    <row r="21" spans="1:35">
      <c r="A21" s="442"/>
      <c r="B21" s="175" t="s">
        <v>578</v>
      </c>
      <c r="C21" s="479" t="s">
        <v>967</v>
      </c>
      <c r="D21" s="174" t="s">
        <v>54</v>
      </c>
      <c r="E21" s="174" t="s">
        <v>54</v>
      </c>
      <c r="F21" s="174" t="s">
        <v>54</v>
      </c>
      <c r="G21" s="174" t="s">
        <v>54</v>
      </c>
      <c r="H21" s="427" t="s">
        <v>53</v>
      </c>
      <c r="I21" s="174" t="s">
        <v>54</v>
      </c>
      <c r="J21" s="174" t="s">
        <v>54</v>
      </c>
      <c r="K21" s="174" t="s">
        <v>54</v>
      </c>
      <c r="L21" s="174" t="s">
        <v>54</v>
      </c>
      <c r="M21" s="174" t="s">
        <v>54</v>
      </c>
      <c r="N21" s="427" t="s">
        <v>53</v>
      </c>
      <c r="O21" s="447" t="s">
        <v>54</v>
      </c>
      <c r="P21" s="491" t="s">
        <v>64</v>
      </c>
      <c r="Q21" s="530" t="s">
        <v>1025</v>
      </c>
      <c r="R21" s="174">
        <v>2025</v>
      </c>
      <c r="S21" s="474"/>
      <c r="T21" s="174" t="s">
        <v>583</v>
      </c>
      <c r="U21" s="499">
        <v>0</v>
      </c>
    </row>
    <row r="22" spans="1:35" ht="33.75">
      <c r="A22" s="177"/>
      <c r="B22" s="175" t="s">
        <v>578</v>
      </c>
      <c r="C22" s="479" t="s">
        <v>967</v>
      </c>
      <c r="D22" s="174" t="s">
        <v>54</v>
      </c>
      <c r="E22" s="174" t="s">
        <v>54</v>
      </c>
      <c r="F22" s="174" t="s">
        <v>54</v>
      </c>
      <c r="G22" s="174" t="s">
        <v>54</v>
      </c>
      <c r="H22" s="174" t="s">
        <v>54</v>
      </c>
      <c r="I22" s="427" t="s">
        <v>53</v>
      </c>
      <c r="J22" s="174" t="s">
        <v>54</v>
      </c>
      <c r="K22" s="174" t="s">
        <v>54</v>
      </c>
      <c r="L22" s="174" t="s">
        <v>54</v>
      </c>
      <c r="M22" s="174" t="s">
        <v>54</v>
      </c>
      <c r="N22" s="174" t="s">
        <v>54</v>
      </c>
      <c r="O22" s="427" t="s">
        <v>53</v>
      </c>
      <c r="P22" s="491" t="s">
        <v>64</v>
      </c>
      <c r="Q22" s="427" t="s">
        <v>985</v>
      </c>
      <c r="R22" s="174" t="s">
        <v>984</v>
      </c>
      <c r="S22" s="474"/>
      <c r="T22" s="449" t="s">
        <v>584</v>
      </c>
      <c r="U22" s="499">
        <v>4</v>
      </c>
      <c r="V22" s="448"/>
    </row>
    <row r="23" spans="1:35" ht="34.5" thickBot="1">
      <c r="A23" s="456"/>
      <c r="B23" s="457" t="s">
        <v>578</v>
      </c>
      <c r="C23" s="482" t="s">
        <v>967</v>
      </c>
      <c r="D23" s="430" t="s">
        <v>54</v>
      </c>
      <c r="E23" s="430" t="s">
        <v>54</v>
      </c>
      <c r="F23" s="430" t="s">
        <v>54</v>
      </c>
      <c r="G23" s="430" t="s">
        <v>54</v>
      </c>
      <c r="H23" s="430" t="s">
        <v>54</v>
      </c>
      <c r="I23" s="459" t="s">
        <v>53</v>
      </c>
      <c r="J23" s="430" t="s">
        <v>54</v>
      </c>
      <c r="K23" s="430" t="s">
        <v>54</v>
      </c>
      <c r="L23" s="430" t="s">
        <v>54</v>
      </c>
      <c r="M23" s="430" t="s">
        <v>54</v>
      </c>
      <c r="N23" s="430" t="s">
        <v>54</v>
      </c>
      <c r="O23" s="506" t="s">
        <v>53</v>
      </c>
      <c r="P23" s="492" t="s">
        <v>64</v>
      </c>
      <c r="Q23" s="459" t="s">
        <v>986</v>
      </c>
      <c r="R23" s="430">
        <v>2025</v>
      </c>
      <c r="S23" s="476"/>
      <c r="T23" s="430" t="s">
        <v>584</v>
      </c>
      <c r="U23" s="501">
        <v>2</v>
      </c>
      <c r="V23" s="448"/>
    </row>
    <row r="24" spans="1:35" ht="33.75">
      <c r="A24" s="177"/>
      <c r="B24" s="175" t="s">
        <v>585</v>
      </c>
      <c r="C24" s="479" t="s">
        <v>969</v>
      </c>
      <c r="D24" s="174" t="s">
        <v>54</v>
      </c>
      <c r="E24" s="174" t="s">
        <v>54</v>
      </c>
      <c r="F24" s="427" t="s">
        <v>53</v>
      </c>
      <c r="G24" s="174" t="s">
        <v>54</v>
      </c>
      <c r="H24" s="174" t="s">
        <v>54</v>
      </c>
      <c r="I24" s="455" t="s">
        <v>53</v>
      </c>
      <c r="J24" s="174" t="s">
        <v>54</v>
      </c>
      <c r="K24" s="174" t="s">
        <v>54</v>
      </c>
      <c r="L24" s="427" t="s">
        <v>53</v>
      </c>
      <c r="M24" s="174" t="s">
        <v>54</v>
      </c>
      <c r="N24" s="174" t="s">
        <v>54</v>
      </c>
      <c r="O24" s="489" t="s">
        <v>53</v>
      </c>
      <c r="P24" s="491" t="s">
        <v>586</v>
      </c>
      <c r="Q24" s="471" t="s">
        <v>993</v>
      </c>
      <c r="R24" s="174">
        <v>2025</v>
      </c>
      <c r="S24" s="474"/>
      <c r="T24" s="449" t="s">
        <v>990</v>
      </c>
      <c r="U24" s="501">
        <v>15</v>
      </c>
      <c r="V24" s="497" t="s">
        <v>996</v>
      </c>
    </row>
    <row r="25" spans="1:35" ht="33.75">
      <c r="A25" s="177"/>
      <c r="B25" s="175" t="s">
        <v>585</v>
      </c>
      <c r="C25" s="479" t="s">
        <v>969</v>
      </c>
      <c r="D25" s="174" t="s">
        <v>54</v>
      </c>
      <c r="E25" s="174" t="s">
        <v>54</v>
      </c>
      <c r="F25" s="427" t="s">
        <v>53</v>
      </c>
      <c r="G25" s="174" t="s">
        <v>54</v>
      </c>
      <c r="H25" s="174" t="s">
        <v>54</v>
      </c>
      <c r="I25" s="427" t="s">
        <v>53</v>
      </c>
      <c r="J25" s="174" t="s">
        <v>54</v>
      </c>
      <c r="K25" s="174" t="s">
        <v>54</v>
      </c>
      <c r="L25" s="427" t="s">
        <v>53</v>
      </c>
      <c r="M25" s="174" t="s">
        <v>54</v>
      </c>
      <c r="N25" s="174" t="s">
        <v>54</v>
      </c>
      <c r="O25" s="487" t="s">
        <v>53</v>
      </c>
      <c r="P25" s="491" t="s">
        <v>586</v>
      </c>
      <c r="Q25" s="427" t="s">
        <v>986</v>
      </c>
      <c r="R25" s="174">
        <v>2025</v>
      </c>
      <c r="S25" s="474"/>
      <c r="T25" s="449" t="s">
        <v>990</v>
      </c>
      <c r="U25" s="499"/>
    </row>
    <row r="26" spans="1:35">
      <c r="A26" s="177"/>
      <c r="B26" s="175" t="s">
        <v>585</v>
      </c>
      <c r="C26" s="479" t="s">
        <v>969</v>
      </c>
      <c r="D26" s="427" t="s">
        <v>53</v>
      </c>
      <c r="E26" s="174" t="s">
        <v>54</v>
      </c>
      <c r="F26" s="174" t="s">
        <v>54</v>
      </c>
      <c r="G26" s="427" t="s">
        <v>53</v>
      </c>
      <c r="H26" s="174" t="s">
        <v>54</v>
      </c>
      <c r="I26" s="174" t="s">
        <v>54</v>
      </c>
      <c r="J26" s="427" t="s">
        <v>53</v>
      </c>
      <c r="K26" s="174" t="s">
        <v>54</v>
      </c>
      <c r="L26" s="174" t="s">
        <v>54</v>
      </c>
      <c r="M26" s="427" t="s">
        <v>53</v>
      </c>
      <c r="N26" s="174" t="s">
        <v>54</v>
      </c>
      <c r="O26" s="447" t="s">
        <v>54</v>
      </c>
      <c r="P26" s="491" t="s">
        <v>586</v>
      </c>
      <c r="Q26" s="530" t="s">
        <v>1026</v>
      </c>
      <c r="R26" s="174">
        <v>2025</v>
      </c>
      <c r="S26" s="474"/>
      <c r="T26" s="174" t="s">
        <v>991</v>
      </c>
      <c r="U26" s="499"/>
    </row>
    <row r="27" spans="1:35" ht="15.75" thickBot="1">
      <c r="A27" s="450"/>
      <c r="B27" s="451" t="s">
        <v>585</v>
      </c>
      <c r="C27" s="483" t="s">
        <v>969</v>
      </c>
      <c r="D27" s="452" t="s">
        <v>54</v>
      </c>
      <c r="E27" s="427" t="s">
        <v>53</v>
      </c>
      <c r="F27" s="452" t="s">
        <v>54</v>
      </c>
      <c r="G27" s="452" t="s">
        <v>54</v>
      </c>
      <c r="H27" s="427" t="s">
        <v>53</v>
      </c>
      <c r="I27" s="452" t="s">
        <v>54</v>
      </c>
      <c r="J27" s="452" t="s">
        <v>54</v>
      </c>
      <c r="K27" s="427" t="s">
        <v>53</v>
      </c>
      <c r="L27" s="452" t="s">
        <v>54</v>
      </c>
      <c r="M27" s="452" t="s">
        <v>54</v>
      </c>
      <c r="N27" s="455" t="s">
        <v>53</v>
      </c>
      <c r="O27" s="454" t="s">
        <v>54</v>
      </c>
      <c r="P27" s="493" t="s">
        <v>586</v>
      </c>
      <c r="Q27" s="531" t="s">
        <v>1027</v>
      </c>
      <c r="R27" s="452">
        <v>2025</v>
      </c>
      <c r="S27" s="477"/>
      <c r="T27" s="202" t="s">
        <v>989</v>
      </c>
      <c r="U27" s="499"/>
      <c r="V27" s="424"/>
    </row>
    <row r="28" spans="1:35" ht="33.75">
      <c r="A28" s="468"/>
      <c r="B28" s="469" t="s">
        <v>976</v>
      </c>
      <c r="C28" s="484" t="s">
        <v>64</v>
      </c>
      <c r="D28" s="471" t="s">
        <v>53</v>
      </c>
      <c r="E28" s="471" t="s">
        <v>53</v>
      </c>
      <c r="F28" s="471" t="s">
        <v>53</v>
      </c>
      <c r="G28" s="471" t="s">
        <v>53</v>
      </c>
      <c r="H28" s="471" t="s">
        <v>53</v>
      </c>
      <c r="I28" s="471" t="s">
        <v>53</v>
      </c>
      <c r="J28" s="471" t="s">
        <v>53</v>
      </c>
      <c r="K28" s="471" t="s">
        <v>53</v>
      </c>
      <c r="L28" s="471" t="s">
        <v>53</v>
      </c>
      <c r="M28" s="471" t="s">
        <v>53</v>
      </c>
      <c r="N28" s="471" t="s">
        <v>53</v>
      </c>
      <c r="O28" s="488" t="s">
        <v>53</v>
      </c>
      <c r="P28" s="494" t="s">
        <v>56</v>
      </c>
      <c r="Q28" s="455" t="s">
        <v>985</v>
      </c>
      <c r="R28" s="472" t="s">
        <v>968</v>
      </c>
      <c r="S28" s="478"/>
      <c r="T28" s="470"/>
      <c r="U28" s="499">
        <v>12</v>
      </c>
      <c r="V28" s="497" t="s">
        <v>996</v>
      </c>
    </row>
    <row r="29" spans="1:35" ht="34.5" thickBot="1">
      <c r="A29" s="431"/>
      <c r="B29" s="464" t="s">
        <v>976</v>
      </c>
      <c r="C29" s="485" t="s">
        <v>64</v>
      </c>
      <c r="D29" s="466" t="s">
        <v>53</v>
      </c>
      <c r="E29" s="466" t="s">
        <v>53</v>
      </c>
      <c r="F29" s="466" t="s">
        <v>53</v>
      </c>
      <c r="G29" s="466" t="s">
        <v>53</v>
      </c>
      <c r="H29" s="466" t="s">
        <v>53</v>
      </c>
      <c r="I29" s="466" t="s">
        <v>53</v>
      </c>
      <c r="J29" s="466" t="s">
        <v>53</v>
      </c>
      <c r="K29" s="466" t="s">
        <v>53</v>
      </c>
      <c r="L29" s="466" t="s">
        <v>53</v>
      </c>
      <c r="M29" s="466" t="s">
        <v>53</v>
      </c>
      <c r="N29" s="466" t="s">
        <v>53</v>
      </c>
      <c r="O29" s="481" t="s">
        <v>53</v>
      </c>
      <c r="P29" s="490" t="s">
        <v>56</v>
      </c>
      <c r="Q29" s="459" t="s">
        <v>986</v>
      </c>
      <c r="R29" s="467" t="s">
        <v>968</v>
      </c>
      <c r="S29" s="475"/>
      <c r="T29" s="465"/>
      <c r="U29" s="499"/>
      <c r="W29" s="433"/>
      <c r="X29" s="433"/>
      <c r="Y29" s="433"/>
      <c r="Z29" s="433"/>
      <c r="AA29" s="433"/>
      <c r="AB29" s="433"/>
    </row>
    <row r="30" spans="1:35" ht="45.75" thickBot="1">
      <c r="A30" s="517"/>
      <c r="B30" s="518" t="s">
        <v>973</v>
      </c>
      <c r="C30" s="519" t="s">
        <v>62</v>
      </c>
      <c r="D30" s="519" t="s">
        <v>53</v>
      </c>
      <c r="E30" s="519" t="s">
        <v>53</v>
      </c>
      <c r="F30" s="519" t="s">
        <v>53</v>
      </c>
      <c r="G30" s="519" t="s">
        <v>53</v>
      </c>
      <c r="H30" s="519" t="s">
        <v>53</v>
      </c>
      <c r="I30" s="519" t="s">
        <v>53</v>
      </c>
      <c r="J30" s="519" t="s">
        <v>53</v>
      </c>
      <c r="K30" s="519" t="s">
        <v>53</v>
      </c>
      <c r="L30" s="519" t="s">
        <v>53</v>
      </c>
      <c r="M30" s="519" t="s">
        <v>53</v>
      </c>
      <c r="N30" s="519" t="s">
        <v>53</v>
      </c>
      <c r="O30" s="520" t="s">
        <v>53</v>
      </c>
      <c r="P30" s="521" t="s">
        <v>62</v>
      </c>
      <c r="Q30" s="519" t="s">
        <v>992</v>
      </c>
      <c r="R30" s="522">
        <v>2025</v>
      </c>
      <c r="S30" s="523"/>
      <c r="T30" s="524"/>
      <c r="U30" s="499">
        <v>18</v>
      </c>
      <c r="V30" s="497" t="s">
        <v>996</v>
      </c>
    </row>
    <row r="31" spans="1:35" ht="23.25" thickBot="1">
      <c r="A31" s="460"/>
      <c r="B31" s="200" t="s">
        <v>970</v>
      </c>
      <c r="C31" s="455" t="s">
        <v>971</v>
      </c>
      <c r="D31" s="455" t="s">
        <v>53</v>
      </c>
      <c r="E31" s="455" t="s">
        <v>53</v>
      </c>
      <c r="F31" s="455" t="s">
        <v>53</v>
      </c>
      <c r="G31" s="455" t="s">
        <v>53</v>
      </c>
      <c r="H31" s="455" t="s">
        <v>53</v>
      </c>
      <c r="I31" s="455" t="s">
        <v>53</v>
      </c>
      <c r="J31" s="455" t="s">
        <v>53</v>
      </c>
      <c r="K31" s="455" t="s">
        <v>53</v>
      </c>
      <c r="L31" s="455" t="s">
        <v>53</v>
      </c>
      <c r="M31" s="455" t="s">
        <v>53</v>
      </c>
      <c r="N31" s="455" t="s">
        <v>53</v>
      </c>
      <c r="O31" s="489" t="s">
        <v>53</v>
      </c>
      <c r="P31" s="493" t="s">
        <v>642</v>
      </c>
      <c r="Q31" s="529" t="s">
        <v>1020</v>
      </c>
      <c r="R31" s="452" t="s">
        <v>984</v>
      </c>
      <c r="S31" s="477"/>
      <c r="T31" s="470" t="s">
        <v>1019</v>
      </c>
      <c r="U31" s="499">
        <v>41</v>
      </c>
      <c r="V31" s="497" t="s">
        <v>996</v>
      </c>
    </row>
    <row r="32" spans="1:35" ht="33.75">
      <c r="A32" s="460"/>
      <c r="B32" s="200" t="s">
        <v>974</v>
      </c>
      <c r="C32" s="483" t="s">
        <v>967</v>
      </c>
      <c r="D32" s="455" t="s">
        <v>53</v>
      </c>
      <c r="E32" s="453"/>
      <c r="F32" s="455" t="s">
        <v>53</v>
      </c>
      <c r="G32" s="453"/>
      <c r="H32" s="455" t="s">
        <v>53</v>
      </c>
      <c r="I32" s="453"/>
      <c r="J32" s="455" t="s">
        <v>53</v>
      </c>
      <c r="K32" s="453"/>
      <c r="L32" s="455" t="s">
        <v>53</v>
      </c>
      <c r="M32" s="453"/>
      <c r="N32" s="455" t="s">
        <v>53</v>
      </c>
      <c r="O32" s="462"/>
      <c r="P32" s="493" t="s">
        <v>73</v>
      </c>
      <c r="Q32" s="525" t="s">
        <v>988</v>
      </c>
      <c r="R32" s="526" t="s">
        <v>984</v>
      </c>
      <c r="S32" s="477"/>
      <c r="T32" s="453"/>
      <c r="U32" s="499"/>
      <c r="W32" s="433"/>
      <c r="X32" s="433"/>
      <c r="Y32" s="433"/>
      <c r="Z32" s="433"/>
      <c r="AA32" s="433"/>
      <c r="AB32" s="433"/>
    </row>
    <row r="33" spans="1:28" ht="45.75" thickBot="1">
      <c r="A33" s="456"/>
      <c r="B33" s="457" t="s">
        <v>975</v>
      </c>
      <c r="C33" s="482" t="s">
        <v>967</v>
      </c>
      <c r="D33" s="458"/>
      <c r="E33" s="459" t="s">
        <v>53</v>
      </c>
      <c r="F33" s="458"/>
      <c r="G33" s="459" t="s">
        <v>53</v>
      </c>
      <c r="H33" s="458"/>
      <c r="I33" s="459" t="s">
        <v>53</v>
      </c>
      <c r="J33" s="458"/>
      <c r="K33" s="459" t="s">
        <v>53</v>
      </c>
      <c r="L33" s="458"/>
      <c r="M33" s="459" t="s">
        <v>53</v>
      </c>
      <c r="N33" s="458"/>
      <c r="O33" s="486" t="s">
        <v>53</v>
      </c>
      <c r="P33" s="492" t="s">
        <v>73</v>
      </c>
      <c r="Q33" s="527" t="s">
        <v>992</v>
      </c>
      <c r="R33" s="528" t="s">
        <v>998</v>
      </c>
      <c r="S33" s="476"/>
      <c r="T33" s="458"/>
      <c r="U33" s="499">
        <v>1</v>
      </c>
      <c r="W33" s="433"/>
      <c r="X33" s="433"/>
      <c r="Y33" s="433"/>
      <c r="Z33" s="433"/>
      <c r="AA33" s="433"/>
      <c r="AB33" s="433"/>
    </row>
    <row r="34" spans="1:28">
      <c r="B34" s="434"/>
      <c r="C34" s="429"/>
      <c r="D34" s="429"/>
      <c r="E34" s="429"/>
      <c r="F34" s="429"/>
      <c r="G34" s="429"/>
      <c r="H34" s="429"/>
      <c r="I34" s="429"/>
      <c r="J34" s="429"/>
      <c r="K34" s="429"/>
      <c r="L34" s="429"/>
      <c r="M34" s="429"/>
      <c r="N34" s="429"/>
      <c r="O34" s="429"/>
      <c r="P34" s="429"/>
      <c r="Q34" s="435"/>
      <c r="R34" s="436"/>
      <c r="S34" s="429"/>
      <c r="T34" s="179"/>
      <c r="U34" s="360">
        <f>SUM(U2:U33)</f>
        <v>2612</v>
      </c>
      <c r="W34" s="432"/>
    </row>
    <row r="35" spans="1:28">
      <c r="B35" s="533" t="s">
        <v>588</v>
      </c>
      <c r="C35" s="533"/>
      <c r="D35" s="533"/>
      <c r="E35" s="533"/>
      <c r="F35" s="533"/>
      <c r="G35" s="533"/>
      <c r="H35" s="533"/>
      <c r="I35" s="533"/>
      <c r="J35" s="533"/>
      <c r="K35" s="533"/>
      <c r="L35" s="533"/>
      <c r="M35" s="533"/>
      <c r="N35" s="533"/>
      <c r="O35" s="533"/>
      <c r="P35" s="533"/>
      <c r="Q35" s="533"/>
      <c r="R35" s="533"/>
      <c r="S35" s="533"/>
      <c r="T35" s="533"/>
      <c r="U35" s="533"/>
    </row>
    <row r="36" spans="1:28">
      <c r="U36" s="360">
        <v>2645</v>
      </c>
    </row>
    <row r="37" spans="1:28">
      <c r="B37" s="120" t="s">
        <v>589</v>
      </c>
      <c r="C37" s="437"/>
      <c r="D37" s="120"/>
      <c r="E37" s="120"/>
      <c r="F37" s="120"/>
      <c r="G37" s="120"/>
      <c r="H37" s="120"/>
      <c r="I37" s="120"/>
      <c r="J37" s="120"/>
      <c r="K37" s="120"/>
      <c r="L37" s="120"/>
      <c r="M37" s="120"/>
      <c r="N37" s="120"/>
      <c r="O37" s="120"/>
      <c r="P37" s="120"/>
      <c r="Q37" s="120"/>
      <c r="R37" s="120"/>
      <c r="S37" s="120"/>
      <c r="T37" s="120"/>
      <c r="U37" s="120"/>
      <c r="V37" s="120"/>
    </row>
    <row r="38" spans="1:28">
      <c r="B38" s="120" t="s">
        <v>590</v>
      </c>
      <c r="C38" s="437"/>
      <c r="D38" s="120"/>
      <c r="E38" s="120"/>
      <c r="F38" s="120"/>
      <c r="G38" s="120"/>
      <c r="H38" s="120"/>
      <c r="I38" s="120"/>
      <c r="J38" s="120"/>
      <c r="K38" s="120"/>
      <c r="L38" s="120"/>
      <c r="M38" s="120"/>
      <c r="N38" s="120"/>
      <c r="O38" s="120"/>
      <c r="P38" s="120"/>
      <c r="Q38" s="120"/>
    </row>
    <row r="40" spans="1:28">
      <c r="B40" s="235" t="s">
        <v>591</v>
      </c>
      <c r="C40" s="438"/>
      <c r="D40" s="235"/>
      <c r="E40" s="235"/>
      <c r="F40" s="235"/>
      <c r="G40" s="235"/>
      <c r="H40" s="235"/>
      <c r="I40" s="235"/>
      <c r="J40" s="235"/>
      <c r="K40" s="235"/>
      <c r="L40" s="235"/>
      <c r="M40" s="235"/>
      <c r="N40" s="235"/>
      <c r="O40" s="235"/>
      <c r="P40" s="235"/>
    </row>
    <row r="41" spans="1:28">
      <c r="B41" s="236" t="s">
        <v>592</v>
      </c>
      <c r="C41" s="439"/>
      <c r="D41" s="235"/>
      <c r="E41" s="235"/>
      <c r="F41" s="235"/>
      <c r="G41" s="235"/>
      <c r="H41" s="235"/>
      <c r="I41" s="237"/>
      <c r="J41" s="237"/>
      <c r="K41" s="237"/>
      <c r="L41" s="237"/>
      <c r="M41" s="237"/>
      <c r="N41" s="237"/>
      <c r="O41" s="237"/>
      <c r="P41" s="238"/>
    </row>
    <row r="42" spans="1:28">
      <c r="B42" s="235" t="s">
        <v>593</v>
      </c>
      <c r="C42" s="438"/>
      <c r="D42" s="237"/>
      <c r="E42" s="237" t="s">
        <v>2</v>
      </c>
      <c r="F42" s="237"/>
      <c r="G42" s="237"/>
      <c r="H42" s="237"/>
      <c r="I42" s="237"/>
      <c r="J42" s="237"/>
      <c r="K42" s="237"/>
      <c r="L42" s="237"/>
      <c r="M42" s="237"/>
      <c r="N42" s="237"/>
      <c r="O42" s="237"/>
      <c r="P42" s="238"/>
    </row>
    <row r="43" spans="1:28">
      <c r="B43" s="239" t="s">
        <v>594</v>
      </c>
      <c r="C43" s="440"/>
      <c r="D43" s="239"/>
      <c r="E43" s="239"/>
      <c r="F43" s="239"/>
      <c r="G43" s="239"/>
      <c r="H43" s="239"/>
      <c r="I43" s="239"/>
      <c r="J43" s="239"/>
      <c r="K43" s="239"/>
      <c r="L43" s="239"/>
      <c r="M43" s="239"/>
      <c r="N43" s="239"/>
      <c r="O43" s="239"/>
      <c r="P43" s="239"/>
    </row>
    <row r="44" spans="1:28">
      <c r="B44" s="239" t="s">
        <v>595</v>
      </c>
      <c r="C44" s="440"/>
      <c r="D44" s="239"/>
      <c r="E44" s="239"/>
      <c r="F44" s="239"/>
      <c r="G44" s="239"/>
      <c r="H44" s="239"/>
      <c r="I44" s="239"/>
      <c r="J44" s="239"/>
      <c r="K44" s="239"/>
      <c r="L44" s="239"/>
      <c r="M44" s="239"/>
      <c r="N44" s="239"/>
      <c r="O44" s="239"/>
      <c r="P44" s="239"/>
    </row>
    <row r="45" spans="1:28">
      <c r="B45" s="239" t="s">
        <v>596</v>
      </c>
      <c r="C45" s="440"/>
      <c r="D45" s="239"/>
      <c r="E45" s="239"/>
      <c r="F45" s="239"/>
      <c r="G45" s="239"/>
      <c r="H45" s="239"/>
      <c r="I45" s="239"/>
      <c r="J45" s="239"/>
      <c r="K45" s="239"/>
      <c r="L45" s="239"/>
      <c r="M45" s="239"/>
      <c r="N45" s="239"/>
      <c r="O45" s="239"/>
      <c r="P45" s="239"/>
    </row>
    <row r="46" spans="1:28">
      <c r="B46" s="239" t="s">
        <v>597</v>
      </c>
      <c r="C46" s="440"/>
      <c r="D46" s="239"/>
      <c r="E46" s="239"/>
      <c r="F46" s="239"/>
      <c r="G46" s="239"/>
      <c r="H46" s="239"/>
      <c r="I46" s="239"/>
      <c r="J46" s="239"/>
      <c r="K46" s="239"/>
      <c r="L46" s="239"/>
      <c r="M46" s="239"/>
      <c r="N46" s="239"/>
      <c r="O46" s="239"/>
      <c r="P46" s="239"/>
    </row>
    <row r="47" spans="1:28">
      <c r="B47" s="239" t="s">
        <v>598</v>
      </c>
      <c r="C47" s="440"/>
      <c r="D47" s="239"/>
      <c r="E47" s="239"/>
      <c r="F47" s="239"/>
      <c r="G47" s="239"/>
      <c r="H47" s="239"/>
      <c r="I47" s="239"/>
      <c r="J47" s="239"/>
      <c r="K47" s="239"/>
      <c r="L47" s="239"/>
      <c r="M47" s="239"/>
      <c r="N47" s="239"/>
      <c r="O47" s="239"/>
      <c r="P47" s="239"/>
    </row>
    <row r="48" spans="1:28">
      <c r="B48" s="239" t="s">
        <v>599</v>
      </c>
      <c r="C48" s="440"/>
      <c r="D48" s="239"/>
      <c r="E48" s="239"/>
      <c r="F48" s="239"/>
      <c r="G48" s="239"/>
      <c r="H48" s="239"/>
      <c r="I48" s="239"/>
      <c r="J48" s="239"/>
      <c r="K48" s="239"/>
      <c r="L48" s="239"/>
      <c r="M48" s="239"/>
      <c r="N48" s="239"/>
      <c r="O48" s="239"/>
      <c r="P48" s="239"/>
    </row>
    <row r="49" spans="2:16">
      <c r="B49" s="239" t="s">
        <v>600</v>
      </c>
      <c r="C49" s="440"/>
      <c r="D49" s="239"/>
      <c r="E49" s="239"/>
      <c r="F49" s="239"/>
      <c r="G49" s="239"/>
      <c r="H49" s="239"/>
      <c r="I49" s="239"/>
      <c r="J49" s="239"/>
      <c r="K49" s="239"/>
      <c r="L49" s="239"/>
      <c r="M49" s="239"/>
      <c r="N49" s="239"/>
      <c r="O49" s="239"/>
      <c r="P49" s="239"/>
    </row>
    <row r="50" spans="2:16">
      <c r="B50" s="235" t="s">
        <v>601</v>
      </c>
      <c r="C50" s="438"/>
      <c r="D50" s="235"/>
      <c r="E50" s="235"/>
      <c r="F50" s="235"/>
      <c r="G50" s="237"/>
      <c r="H50" s="237"/>
      <c r="I50" s="237"/>
      <c r="J50" s="237"/>
      <c r="K50" s="237"/>
      <c r="L50" s="237"/>
      <c r="M50" s="238"/>
      <c r="N50" s="238"/>
      <c r="O50" s="238"/>
      <c r="P50" s="238"/>
    </row>
    <row r="51" spans="2:16">
      <c r="B51" s="235" t="s">
        <v>602</v>
      </c>
      <c r="C51" s="438"/>
      <c r="D51" s="235"/>
      <c r="E51" s="235"/>
      <c r="F51" s="235"/>
      <c r="G51" s="237"/>
      <c r="H51" s="237"/>
      <c r="I51" s="237"/>
      <c r="J51" s="237"/>
      <c r="K51" s="237"/>
      <c r="L51" s="237"/>
      <c r="M51" s="238"/>
      <c r="N51" s="238"/>
      <c r="O51" s="238"/>
      <c r="P51" s="238"/>
    </row>
    <row r="52" spans="2:16">
      <c r="B52" s="237"/>
      <c r="C52" s="441"/>
      <c r="D52" s="237"/>
      <c r="E52" s="237"/>
      <c r="F52" s="237"/>
      <c r="G52" s="237"/>
      <c r="H52" s="237"/>
      <c r="I52" s="237"/>
      <c r="J52" s="237"/>
      <c r="K52" s="237"/>
      <c r="L52" s="237"/>
      <c r="M52" s="238"/>
      <c r="N52" s="238"/>
      <c r="O52" s="238"/>
      <c r="P52" s="238"/>
    </row>
    <row r="53" spans="2:16">
      <c r="B53" s="425" t="s">
        <v>962</v>
      </c>
    </row>
    <row r="54" spans="2:16">
      <c r="B54" s="425" t="s">
        <v>958</v>
      </c>
    </row>
    <row r="55" spans="2:16">
      <c r="B55" s="426" t="s">
        <v>963</v>
      </c>
    </row>
    <row r="56" spans="2:16">
      <c r="B56" s="426" t="s">
        <v>964</v>
      </c>
    </row>
    <row r="57" spans="2:16">
      <c r="B57" s="426" t="s">
        <v>965</v>
      </c>
    </row>
    <row r="58" spans="2:16">
      <c r="B58" s="426" t="s">
        <v>966</v>
      </c>
    </row>
    <row r="59" spans="2:16">
      <c r="B59" s="443" t="s">
        <v>977</v>
      </c>
    </row>
    <row r="60" spans="2:16">
      <c r="B60" s="443" t="s">
        <v>978</v>
      </c>
    </row>
    <row r="61" spans="2:16">
      <c r="B61" s="443" t="s">
        <v>979</v>
      </c>
    </row>
    <row r="62" spans="2:16">
      <c r="B62" s="443" t="s">
        <v>980</v>
      </c>
    </row>
    <row r="63" spans="2:16">
      <c r="B63" s="443" t="s">
        <v>981</v>
      </c>
    </row>
  </sheetData>
  <mergeCells count="1">
    <mergeCell ref="B35:U35"/>
  </mergeCells>
  <hyperlinks>
    <hyperlink ref="U1" location="MAPPING!A1" display="Return to Mapping" xr:uid="{1837AEAB-B3AD-4DD8-AB5A-1422E3184D2B}"/>
  </hyperlinks>
  <pageMargins left="0.7" right="0.7" top="0.75" bottom="0.75" header="0.3" footer="0.3"/>
  <pageSetup scale="44" orientation="portrait" r:id="rId1"/>
  <headerFooter>
    <oddHeader xml:space="preserve">&amp;LRefinitiv&amp;CDIST Reverse Mapping &amp;A&amp;RNew Installations - Conversions
</oddHeader>
    <oddFooter>&amp;LConfidential&amp;C&amp;D&amp;RPage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D94F-6F89-4838-B762-8CAEB8B2663F}">
  <sheetPr>
    <pageSetUpPr fitToPage="1"/>
  </sheetPr>
  <dimension ref="A1:Z217"/>
  <sheetViews>
    <sheetView zoomScaleNormal="100" workbookViewId="0">
      <pane xSplit="1" ySplit="1" topLeftCell="H9" activePane="bottomRight" state="frozen"/>
      <selection pane="topRight" activeCell="B1" sqref="B1"/>
      <selection pane="bottomLeft" activeCell="A2" sqref="A2"/>
      <selection pane="bottomRight" activeCell="N1" sqref="N1"/>
    </sheetView>
  </sheetViews>
  <sheetFormatPr defaultColWidth="9.140625" defaultRowHeight="12"/>
  <cols>
    <col min="1" max="1" width="3.85546875" style="3" customWidth="1"/>
    <col min="2" max="2" width="8" style="7" customWidth="1"/>
    <col min="3" max="3" width="7.7109375" style="7" customWidth="1"/>
    <col min="4" max="4" width="5.42578125" style="41" customWidth="1"/>
    <col min="5" max="5" width="9.42578125" style="41" customWidth="1"/>
    <col min="6" max="6" width="11.85546875" style="42" customWidth="1"/>
    <col min="7" max="7" width="27.42578125" style="7" customWidth="1"/>
    <col min="8" max="8" width="32.7109375" style="43" customWidth="1"/>
    <col min="9" max="9" width="23.7109375" style="6" customWidth="1"/>
    <col min="10" max="10" width="32.28515625" style="6" customWidth="1"/>
    <col min="11" max="11" width="19.140625" style="16" customWidth="1"/>
    <col min="12" max="12" width="10" style="16" customWidth="1"/>
    <col min="13" max="13" width="12.85546875" style="93" customWidth="1"/>
    <col min="14" max="14" width="26.28515625" style="93" customWidth="1"/>
    <col min="15" max="15" width="28.85546875" style="93" customWidth="1"/>
    <col min="16" max="16" width="26.28515625" style="93" customWidth="1"/>
    <col min="17" max="17" width="28.85546875" style="93" customWidth="1"/>
    <col min="18" max="19" width="32.28515625" style="93" customWidth="1"/>
    <col min="20" max="20" width="32.28515625" style="6" customWidth="1"/>
    <col min="21" max="21" width="32.5703125" style="6" customWidth="1"/>
    <col min="22" max="23" width="34.5703125" style="6" customWidth="1"/>
    <col min="24" max="24" width="34.5703125" style="172" customWidth="1"/>
    <col min="25" max="25" width="30.42578125" style="83" customWidth="1"/>
    <col min="26" max="26" width="29.5703125" style="83" customWidth="1"/>
    <col min="27" max="16384" width="9.140625" style="3"/>
  </cols>
  <sheetData>
    <row r="1" spans="1:26" s="64" customFormat="1" ht="79.5" customHeight="1">
      <c r="A1" s="61"/>
      <c r="B1" s="53" t="s">
        <v>118</v>
      </c>
      <c r="C1" s="53" t="s">
        <v>120</v>
      </c>
      <c r="D1" s="62" t="s">
        <v>121</v>
      </c>
      <c r="E1" s="53" t="s">
        <v>122</v>
      </c>
      <c r="F1" s="62" t="s">
        <v>123</v>
      </c>
      <c r="G1" s="53" t="s">
        <v>124</v>
      </c>
      <c r="H1" s="53" t="s">
        <v>125</v>
      </c>
      <c r="I1" s="65" t="s">
        <v>126</v>
      </c>
      <c r="J1" s="53" t="s">
        <v>127</v>
      </c>
      <c r="K1" s="53" t="s">
        <v>130</v>
      </c>
      <c r="L1" s="53" t="s">
        <v>131</v>
      </c>
      <c r="M1" s="53" t="s">
        <v>132</v>
      </c>
      <c r="N1" s="213" t="s">
        <v>929</v>
      </c>
      <c r="O1" s="213" t="s">
        <v>928</v>
      </c>
      <c r="P1" s="213" t="s">
        <v>927</v>
      </c>
      <c r="Q1" s="213" t="s">
        <v>926</v>
      </c>
      <c r="R1" s="213" t="s">
        <v>645</v>
      </c>
      <c r="S1" s="213" t="s">
        <v>646</v>
      </c>
      <c r="T1" s="213" t="s">
        <v>647</v>
      </c>
      <c r="U1" s="213" t="s">
        <v>648</v>
      </c>
      <c r="V1" s="155" t="s">
        <v>649</v>
      </c>
      <c r="W1" s="155" t="s">
        <v>650</v>
      </c>
      <c r="X1" s="154" t="s">
        <v>651</v>
      </c>
      <c r="Y1" s="155" t="s">
        <v>652</v>
      </c>
      <c r="Z1" s="154" t="s">
        <v>653</v>
      </c>
    </row>
    <row r="2" spans="1:26" s="142" customFormat="1">
      <c r="A2" s="164">
        <v>1</v>
      </c>
      <c r="B2" s="138" t="s">
        <v>2</v>
      </c>
      <c r="C2" s="138"/>
      <c r="D2" s="137">
        <v>1</v>
      </c>
      <c r="E2" s="133" t="s">
        <v>141</v>
      </c>
      <c r="F2" s="139"/>
      <c r="G2" s="135" t="s">
        <v>142</v>
      </c>
      <c r="H2" s="135" t="s">
        <v>143</v>
      </c>
      <c r="I2" s="140"/>
      <c r="J2" s="135"/>
      <c r="K2" s="135"/>
      <c r="L2" s="134">
        <v>0</v>
      </c>
      <c r="M2" s="135"/>
      <c r="N2" s="136" t="s">
        <v>144</v>
      </c>
      <c r="O2" s="136" t="s">
        <v>144</v>
      </c>
      <c r="P2" s="357" t="s">
        <v>144</v>
      </c>
      <c r="Q2" s="357" t="s">
        <v>144</v>
      </c>
      <c r="R2" s="305" t="s">
        <v>144</v>
      </c>
      <c r="S2" s="306" t="s">
        <v>144</v>
      </c>
      <c r="T2" s="136" t="s">
        <v>144</v>
      </c>
      <c r="U2" s="136" t="s">
        <v>144</v>
      </c>
      <c r="V2" s="136" t="s">
        <v>654</v>
      </c>
      <c r="W2" s="136"/>
      <c r="X2" s="135"/>
      <c r="Y2" s="136" t="s">
        <v>144</v>
      </c>
      <c r="Z2" s="136" t="s">
        <v>144</v>
      </c>
    </row>
    <row r="3" spans="1:26" s="142" customFormat="1">
      <c r="A3" s="164">
        <v>2</v>
      </c>
      <c r="B3" s="138"/>
      <c r="C3" s="138"/>
      <c r="D3" s="137">
        <v>51</v>
      </c>
      <c r="E3" s="134" t="s">
        <v>145</v>
      </c>
      <c r="F3" s="139"/>
      <c r="G3" s="135" t="s">
        <v>146</v>
      </c>
      <c r="H3" s="135" t="s">
        <v>143</v>
      </c>
      <c r="I3" s="140"/>
      <c r="J3" s="135"/>
      <c r="K3" s="135"/>
      <c r="L3" s="134">
        <v>0</v>
      </c>
      <c r="M3" s="135"/>
      <c r="N3" s="136" t="s">
        <v>144</v>
      </c>
      <c r="O3" s="136" t="s">
        <v>144</v>
      </c>
      <c r="P3" s="357" t="s">
        <v>144</v>
      </c>
      <c r="Q3" s="357" t="s">
        <v>144</v>
      </c>
      <c r="R3" s="305" t="s">
        <v>144</v>
      </c>
      <c r="S3" s="306" t="s">
        <v>144</v>
      </c>
      <c r="T3" s="136" t="s">
        <v>144</v>
      </c>
      <c r="U3" s="136" t="s">
        <v>144</v>
      </c>
      <c r="V3" s="136" t="s">
        <v>654</v>
      </c>
      <c r="W3" s="136"/>
      <c r="X3" s="135"/>
      <c r="Y3" s="136" t="s">
        <v>144</v>
      </c>
      <c r="Z3" s="136" t="s">
        <v>144</v>
      </c>
    </row>
    <row r="4" spans="1:26" s="142" customFormat="1">
      <c r="A4" s="164">
        <v>3</v>
      </c>
      <c r="B4" s="138"/>
      <c r="C4" s="138"/>
      <c r="D4" s="137">
        <v>101</v>
      </c>
      <c r="E4" s="134" t="s">
        <v>145</v>
      </c>
      <c r="F4" s="139"/>
      <c r="G4" s="135" t="s">
        <v>147</v>
      </c>
      <c r="H4" s="135" t="s">
        <v>143</v>
      </c>
      <c r="I4" s="140"/>
      <c r="J4" s="135"/>
      <c r="K4" s="135"/>
      <c r="L4" s="134">
        <v>0</v>
      </c>
      <c r="M4" s="135"/>
      <c r="N4" s="136" t="s">
        <v>148</v>
      </c>
      <c r="O4" s="136" t="s">
        <v>148</v>
      </c>
      <c r="P4" s="357" t="s">
        <v>148</v>
      </c>
      <c r="Q4" s="357" t="s">
        <v>148</v>
      </c>
      <c r="R4" s="305" t="s">
        <v>148</v>
      </c>
      <c r="S4" s="306" t="s">
        <v>148</v>
      </c>
      <c r="T4" s="136" t="s">
        <v>148</v>
      </c>
      <c r="U4" s="136" t="s">
        <v>148</v>
      </c>
      <c r="V4" s="136" t="s">
        <v>148</v>
      </c>
      <c r="W4" s="136"/>
      <c r="X4" s="135"/>
      <c r="Y4" s="136" t="s">
        <v>148</v>
      </c>
      <c r="Z4" s="136" t="s">
        <v>148</v>
      </c>
    </row>
    <row r="5" spans="1:26" s="142" customFormat="1">
      <c r="A5" s="164">
        <v>4</v>
      </c>
      <c r="B5" s="138"/>
      <c r="C5" s="138"/>
      <c r="D5" s="137">
        <v>201</v>
      </c>
      <c r="E5" s="134" t="s">
        <v>145</v>
      </c>
      <c r="F5" s="139"/>
      <c r="G5" s="135" t="s">
        <v>149</v>
      </c>
      <c r="H5" s="135" t="s">
        <v>143</v>
      </c>
      <c r="I5" s="140"/>
      <c r="J5" s="135"/>
      <c r="K5" s="135"/>
      <c r="L5" s="134">
        <v>0</v>
      </c>
      <c r="M5" s="135"/>
      <c r="N5" s="136" t="s">
        <v>148</v>
      </c>
      <c r="O5" s="136" t="s">
        <v>148</v>
      </c>
      <c r="P5" s="357" t="s">
        <v>148</v>
      </c>
      <c r="Q5" s="357" t="s">
        <v>148</v>
      </c>
      <c r="R5" s="305" t="s">
        <v>148</v>
      </c>
      <c r="S5" s="306" t="s">
        <v>148</v>
      </c>
      <c r="T5" s="136" t="s">
        <v>148</v>
      </c>
      <c r="U5" s="136" t="s">
        <v>148</v>
      </c>
      <c r="V5" s="136" t="s">
        <v>148</v>
      </c>
      <c r="W5" s="136"/>
      <c r="X5" s="135"/>
      <c r="Y5" s="136" t="s">
        <v>148</v>
      </c>
      <c r="Z5" s="136" t="s">
        <v>148</v>
      </c>
    </row>
    <row r="6" spans="1:26" ht="24">
      <c r="A6" s="164">
        <v>5</v>
      </c>
      <c r="B6" s="39"/>
      <c r="C6" s="39"/>
      <c r="D6" s="32">
        <v>205</v>
      </c>
      <c r="E6" s="32" t="s">
        <v>150</v>
      </c>
      <c r="F6" s="85" t="s">
        <v>151</v>
      </c>
      <c r="G6" s="51" t="s">
        <v>152</v>
      </c>
      <c r="H6" s="51" t="s">
        <v>153</v>
      </c>
      <c r="I6" s="51"/>
      <c r="J6" s="94"/>
      <c r="K6" s="32" t="s">
        <v>52</v>
      </c>
      <c r="L6" s="32">
        <v>1</v>
      </c>
      <c r="M6" s="90" t="s">
        <v>155</v>
      </c>
      <c r="N6" s="125" t="s">
        <v>154</v>
      </c>
      <c r="O6" s="125" t="s">
        <v>154</v>
      </c>
      <c r="P6" s="232" t="s">
        <v>154</v>
      </c>
      <c r="Q6" s="232" t="s">
        <v>154</v>
      </c>
      <c r="R6" s="232" t="s">
        <v>154</v>
      </c>
      <c r="S6" s="307" t="s">
        <v>154</v>
      </c>
      <c r="T6" s="125" t="s">
        <v>154</v>
      </c>
      <c r="U6" s="125" t="s">
        <v>154</v>
      </c>
      <c r="V6" s="125" t="s">
        <v>655</v>
      </c>
      <c r="W6" s="4" t="s">
        <v>656</v>
      </c>
      <c r="X6" s="4" t="s">
        <v>656</v>
      </c>
      <c r="Y6" s="176" t="s">
        <v>657</v>
      </c>
      <c r="Z6" s="176" t="s">
        <v>657</v>
      </c>
    </row>
    <row r="7" spans="1:26" ht="144">
      <c r="A7" s="164">
        <v>6</v>
      </c>
      <c r="B7" s="12"/>
      <c r="C7" s="12"/>
      <c r="D7" s="32">
        <v>214</v>
      </c>
      <c r="E7" s="32" t="s">
        <v>150</v>
      </c>
      <c r="F7" s="85" t="s">
        <v>158</v>
      </c>
      <c r="G7" s="51" t="s">
        <v>159</v>
      </c>
      <c r="H7" s="51" t="s">
        <v>160</v>
      </c>
      <c r="I7" s="51"/>
      <c r="J7" s="95" t="s">
        <v>161</v>
      </c>
      <c r="K7" s="32" t="s">
        <v>52</v>
      </c>
      <c r="L7" s="32">
        <v>1</v>
      </c>
      <c r="M7" s="90" t="s">
        <v>155</v>
      </c>
      <c r="N7" s="308" t="s">
        <v>658</v>
      </c>
      <c r="O7" s="309" t="s">
        <v>658</v>
      </c>
      <c r="P7" s="308" t="s">
        <v>658</v>
      </c>
      <c r="Q7" s="309" t="s">
        <v>658</v>
      </c>
      <c r="R7" s="308" t="s">
        <v>658</v>
      </c>
      <c r="S7" s="309" t="s">
        <v>658</v>
      </c>
      <c r="T7" s="95" t="s">
        <v>659</v>
      </c>
      <c r="U7" s="95" t="s">
        <v>659</v>
      </c>
      <c r="V7" s="125" t="s">
        <v>660</v>
      </c>
      <c r="W7" s="157" t="s">
        <v>661</v>
      </c>
      <c r="X7" s="51" t="s">
        <v>661</v>
      </c>
      <c r="Y7" s="176" t="s">
        <v>662</v>
      </c>
      <c r="Z7" s="176" t="s">
        <v>662</v>
      </c>
    </row>
    <row r="8" spans="1:26" ht="24">
      <c r="A8" s="164">
        <v>7</v>
      </c>
      <c r="B8" s="106"/>
      <c r="C8" s="106"/>
      <c r="D8" s="107">
        <v>223</v>
      </c>
      <c r="E8" s="107" t="s">
        <v>150</v>
      </c>
      <c r="F8" s="108"/>
      <c r="G8" s="110" t="s">
        <v>163</v>
      </c>
      <c r="H8" s="110" t="s">
        <v>164</v>
      </c>
      <c r="I8" s="109"/>
      <c r="J8" s="110"/>
      <c r="K8" s="107" t="s">
        <v>166</v>
      </c>
      <c r="L8" s="107">
        <v>0</v>
      </c>
      <c r="M8" s="112"/>
      <c r="N8" s="89" t="s">
        <v>165</v>
      </c>
      <c r="O8" s="89" t="s">
        <v>165</v>
      </c>
      <c r="P8" s="345" t="s">
        <v>165</v>
      </c>
      <c r="Q8" s="345" t="s">
        <v>165</v>
      </c>
      <c r="R8" s="310" t="s">
        <v>165</v>
      </c>
      <c r="S8" s="311" t="s">
        <v>165</v>
      </c>
      <c r="T8" s="89" t="s">
        <v>663</v>
      </c>
      <c r="U8" s="89" t="s">
        <v>663</v>
      </c>
      <c r="V8" s="89" t="s">
        <v>148</v>
      </c>
      <c r="W8" s="89" t="s">
        <v>663</v>
      </c>
      <c r="X8" s="89" t="s">
        <v>663</v>
      </c>
      <c r="Y8" s="207" t="s">
        <v>663</v>
      </c>
      <c r="Z8" s="207" t="s">
        <v>663</v>
      </c>
    </row>
    <row r="9" spans="1:26" ht="409.5">
      <c r="A9" s="164">
        <v>8</v>
      </c>
      <c r="B9" s="39"/>
      <c r="C9" s="39"/>
      <c r="D9" s="32">
        <v>232</v>
      </c>
      <c r="E9" s="32" t="s">
        <v>167</v>
      </c>
      <c r="F9" s="85" t="s">
        <v>168</v>
      </c>
      <c r="G9" s="51" t="s">
        <v>169</v>
      </c>
      <c r="H9" s="51" t="s">
        <v>170</v>
      </c>
      <c r="I9" s="51"/>
      <c r="J9" s="95" t="s">
        <v>664</v>
      </c>
      <c r="K9" s="32" t="s">
        <v>52</v>
      </c>
      <c r="L9" s="32">
        <v>1</v>
      </c>
      <c r="M9" s="90" t="s">
        <v>155</v>
      </c>
      <c r="N9" s="51" t="s">
        <v>173</v>
      </c>
      <c r="O9" s="51" t="s">
        <v>173</v>
      </c>
      <c r="P9" s="232" t="s">
        <v>173</v>
      </c>
      <c r="Q9" s="232" t="s">
        <v>173</v>
      </c>
      <c r="R9" s="312" t="s">
        <v>665</v>
      </c>
      <c r="S9" s="313" t="s">
        <v>665</v>
      </c>
      <c r="T9" s="176" t="s">
        <v>666</v>
      </c>
      <c r="U9" s="176" t="s">
        <v>666</v>
      </c>
      <c r="V9" s="176" t="s">
        <v>666</v>
      </c>
      <c r="W9" s="125" t="s">
        <v>667</v>
      </c>
      <c r="X9" s="125" t="s">
        <v>668</v>
      </c>
      <c r="Y9" s="176" t="s">
        <v>666</v>
      </c>
      <c r="Z9" s="176" t="s">
        <v>666</v>
      </c>
    </row>
    <row r="10" spans="1:26" ht="120">
      <c r="A10" s="164">
        <v>9</v>
      </c>
      <c r="B10" s="106"/>
      <c r="C10" s="106"/>
      <c r="D10" s="96">
        <v>237</v>
      </c>
      <c r="E10" s="96" t="s">
        <v>175</v>
      </c>
      <c r="F10" s="108" t="s">
        <v>176</v>
      </c>
      <c r="G10" s="109" t="s">
        <v>177</v>
      </c>
      <c r="H10" s="109" t="s">
        <v>178</v>
      </c>
      <c r="I10" s="124"/>
      <c r="J10" s="113"/>
      <c r="K10" s="107" t="s">
        <v>58</v>
      </c>
      <c r="L10" s="107">
        <v>0</v>
      </c>
      <c r="M10" s="112"/>
      <c r="N10" s="89" t="s">
        <v>179</v>
      </c>
      <c r="O10" s="89" t="s">
        <v>179</v>
      </c>
      <c r="P10" s="345" t="s">
        <v>179</v>
      </c>
      <c r="Q10" s="345" t="s">
        <v>179</v>
      </c>
      <c r="R10" s="314" t="s">
        <v>179</v>
      </c>
      <c r="S10" s="315" t="s">
        <v>179</v>
      </c>
      <c r="T10" s="89" t="s">
        <v>669</v>
      </c>
      <c r="U10" s="89" t="s">
        <v>669</v>
      </c>
      <c r="V10" s="89" t="s">
        <v>669</v>
      </c>
      <c r="W10" s="89" t="s">
        <v>670</v>
      </c>
      <c r="X10" s="89" t="s">
        <v>670</v>
      </c>
      <c r="Y10" s="207" t="s">
        <v>669</v>
      </c>
      <c r="Z10" s="207" t="s">
        <v>669</v>
      </c>
    </row>
    <row r="11" spans="1:26" ht="216">
      <c r="A11" s="164">
        <v>10</v>
      </c>
      <c r="B11" s="39"/>
      <c r="C11" s="39"/>
      <c r="D11" s="32">
        <v>239</v>
      </c>
      <c r="E11" s="32" t="s">
        <v>27</v>
      </c>
      <c r="F11" s="85" t="s">
        <v>180</v>
      </c>
      <c r="G11" s="51" t="s">
        <v>181</v>
      </c>
      <c r="H11" s="51" t="s">
        <v>182</v>
      </c>
      <c r="I11" s="51"/>
      <c r="J11" s="94"/>
      <c r="K11" s="32" t="s">
        <v>52</v>
      </c>
      <c r="L11" s="32">
        <v>1</v>
      </c>
      <c r="M11" s="90" t="s">
        <v>155</v>
      </c>
      <c r="N11" s="356" t="s">
        <v>925</v>
      </c>
      <c r="O11" s="356" t="s">
        <v>925</v>
      </c>
      <c r="P11" s="176" t="s">
        <v>184</v>
      </c>
      <c r="Q11" s="176" t="s">
        <v>184</v>
      </c>
      <c r="R11" s="316" t="s">
        <v>184</v>
      </c>
      <c r="S11" s="317" t="s">
        <v>184</v>
      </c>
      <c r="T11" s="176" t="s">
        <v>671</v>
      </c>
      <c r="U11" s="176" t="s">
        <v>671</v>
      </c>
      <c r="V11" s="176" t="s">
        <v>671</v>
      </c>
      <c r="W11" s="125" t="s">
        <v>672</v>
      </c>
      <c r="X11" s="125" t="s">
        <v>672</v>
      </c>
      <c r="Y11" s="176" t="s">
        <v>671</v>
      </c>
      <c r="Z11" s="176" t="s">
        <v>671</v>
      </c>
    </row>
    <row r="12" spans="1:26" ht="120">
      <c r="A12" s="164">
        <v>11</v>
      </c>
      <c r="B12" s="12"/>
      <c r="C12" s="12"/>
      <c r="D12" s="32">
        <v>240</v>
      </c>
      <c r="E12" s="32" t="s">
        <v>150</v>
      </c>
      <c r="F12" s="85" t="s">
        <v>185</v>
      </c>
      <c r="G12" s="51" t="s">
        <v>186</v>
      </c>
      <c r="H12" s="51" t="s">
        <v>187</v>
      </c>
      <c r="I12" s="125"/>
      <c r="J12" s="95" t="s">
        <v>673</v>
      </c>
      <c r="K12" s="32" t="s">
        <v>52</v>
      </c>
      <c r="L12" s="32">
        <v>1</v>
      </c>
      <c r="M12" s="90" t="s">
        <v>155</v>
      </c>
      <c r="N12" s="176" t="s">
        <v>184</v>
      </c>
      <c r="O12" s="176" t="s">
        <v>184</v>
      </c>
      <c r="P12" s="176" t="s">
        <v>184</v>
      </c>
      <c r="Q12" s="176" t="s">
        <v>184</v>
      </c>
      <c r="R12" s="316" t="s">
        <v>184</v>
      </c>
      <c r="S12" s="317" t="s">
        <v>184</v>
      </c>
      <c r="T12" s="176" t="s">
        <v>674</v>
      </c>
      <c r="U12" s="176" t="s">
        <v>675</v>
      </c>
      <c r="V12" s="176" t="s">
        <v>671</v>
      </c>
      <c r="W12" s="156" t="s">
        <v>672</v>
      </c>
      <c r="X12" s="156" t="s">
        <v>672</v>
      </c>
      <c r="Y12" s="176" t="s">
        <v>671</v>
      </c>
      <c r="Z12" s="176" t="s">
        <v>671</v>
      </c>
    </row>
    <row r="13" spans="1:26" ht="132">
      <c r="A13" s="164">
        <v>12</v>
      </c>
      <c r="B13" s="12"/>
      <c r="C13" s="12"/>
      <c r="D13" s="32">
        <v>249</v>
      </c>
      <c r="E13" s="32" t="s">
        <v>150</v>
      </c>
      <c r="F13" s="85" t="s">
        <v>676</v>
      </c>
      <c r="G13" s="51" t="s">
        <v>189</v>
      </c>
      <c r="H13" s="51" t="s">
        <v>190</v>
      </c>
      <c r="I13" s="51"/>
      <c r="J13" s="94"/>
      <c r="K13" s="32" t="s">
        <v>166</v>
      </c>
      <c r="L13" s="32">
        <v>0</v>
      </c>
      <c r="M13" s="90" t="s">
        <v>155</v>
      </c>
      <c r="N13" s="95" t="s">
        <v>192</v>
      </c>
      <c r="O13" s="95" t="s">
        <v>192</v>
      </c>
      <c r="P13" s="176" t="s">
        <v>677</v>
      </c>
      <c r="Q13" s="176" t="s">
        <v>677</v>
      </c>
      <c r="R13" s="316" t="s">
        <v>677</v>
      </c>
      <c r="S13" s="317" t="s">
        <v>677</v>
      </c>
      <c r="T13" s="95" t="s">
        <v>678</v>
      </c>
      <c r="U13" s="95" t="s">
        <v>678</v>
      </c>
      <c r="V13" s="95" t="s">
        <v>679</v>
      </c>
      <c r="W13" s="95" t="s">
        <v>680</v>
      </c>
      <c r="X13" s="95" t="s">
        <v>681</v>
      </c>
      <c r="Y13" s="95" t="s">
        <v>678</v>
      </c>
      <c r="Z13" s="95" t="s">
        <v>678</v>
      </c>
    </row>
    <row r="14" spans="1:26" ht="24">
      <c r="A14" s="164">
        <v>13</v>
      </c>
      <c r="B14" s="12"/>
      <c r="C14" s="12"/>
      <c r="D14" s="32">
        <v>258</v>
      </c>
      <c r="E14" s="32" t="s">
        <v>193</v>
      </c>
      <c r="F14" s="85" t="s">
        <v>194</v>
      </c>
      <c r="G14" s="51" t="s">
        <v>195</v>
      </c>
      <c r="H14" s="51" t="s">
        <v>196</v>
      </c>
      <c r="I14" s="51"/>
      <c r="J14" s="94"/>
      <c r="K14" s="84" t="s">
        <v>2</v>
      </c>
      <c r="L14" s="32">
        <v>1</v>
      </c>
      <c r="M14" s="90" t="s">
        <v>81</v>
      </c>
      <c r="N14" s="51" t="s">
        <v>198</v>
      </c>
      <c r="O14" s="152" t="s">
        <v>165</v>
      </c>
      <c r="P14" s="232" t="s">
        <v>198</v>
      </c>
      <c r="Q14" s="348" t="s">
        <v>165</v>
      </c>
      <c r="R14" s="308" t="s">
        <v>198</v>
      </c>
      <c r="S14" s="315" t="s">
        <v>165</v>
      </c>
      <c r="T14" s="51" t="s">
        <v>682</v>
      </c>
      <c r="U14" s="152" t="s">
        <v>148</v>
      </c>
      <c r="V14" s="51" t="s">
        <v>683</v>
      </c>
      <c r="W14" s="157" t="s">
        <v>684</v>
      </c>
      <c r="X14" s="166" t="s">
        <v>670</v>
      </c>
      <c r="Y14" s="95" t="s">
        <v>682</v>
      </c>
      <c r="Z14" s="208" t="s">
        <v>148</v>
      </c>
    </row>
    <row r="15" spans="1:26" ht="132">
      <c r="A15" s="164">
        <v>14</v>
      </c>
      <c r="B15" s="12"/>
      <c r="C15" s="12"/>
      <c r="D15" s="32">
        <v>273</v>
      </c>
      <c r="E15" s="32" t="s">
        <v>27</v>
      </c>
      <c r="F15" s="85" t="s">
        <v>199</v>
      </c>
      <c r="G15" s="51" t="s">
        <v>200</v>
      </c>
      <c r="H15" s="51" t="s">
        <v>201</v>
      </c>
      <c r="I15" s="51"/>
      <c r="J15" s="95" t="s">
        <v>685</v>
      </c>
      <c r="K15" s="32" t="s">
        <v>52</v>
      </c>
      <c r="L15" s="32">
        <v>1</v>
      </c>
      <c r="M15" s="90" t="s">
        <v>155</v>
      </c>
      <c r="N15" s="51" t="s">
        <v>204</v>
      </c>
      <c r="O15" s="51" t="s">
        <v>204</v>
      </c>
      <c r="P15" s="232" t="s">
        <v>204</v>
      </c>
      <c r="Q15" s="232" t="s">
        <v>204</v>
      </c>
      <c r="R15" s="308" t="s">
        <v>204</v>
      </c>
      <c r="S15" s="309" t="s">
        <v>204</v>
      </c>
      <c r="T15" s="51" t="s">
        <v>686</v>
      </c>
      <c r="U15" s="51" t="s">
        <v>686</v>
      </c>
      <c r="V15" s="51" t="s">
        <v>687</v>
      </c>
      <c r="W15" s="157" t="s">
        <v>688</v>
      </c>
      <c r="X15" s="167" t="s">
        <v>688</v>
      </c>
      <c r="Y15" s="95" t="s">
        <v>686</v>
      </c>
      <c r="Z15" s="95" t="s">
        <v>686</v>
      </c>
    </row>
    <row r="16" spans="1:26" ht="108">
      <c r="A16" s="164">
        <v>15</v>
      </c>
      <c r="B16" s="12"/>
      <c r="C16" s="12"/>
      <c r="D16" s="32">
        <v>274</v>
      </c>
      <c r="E16" s="32" t="s">
        <v>206</v>
      </c>
      <c r="F16" s="85" t="s">
        <v>207</v>
      </c>
      <c r="G16" s="51" t="s">
        <v>208</v>
      </c>
      <c r="H16" s="51" t="s">
        <v>209</v>
      </c>
      <c r="I16" s="51"/>
      <c r="J16" s="95" t="s">
        <v>689</v>
      </c>
      <c r="K16" s="32" t="s">
        <v>166</v>
      </c>
      <c r="L16" s="32">
        <v>0</v>
      </c>
      <c r="M16" s="90" t="s">
        <v>155</v>
      </c>
      <c r="N16" s="51" t="s">
        <v>211</v>
      </c>
      <c r="O16" s="51" t="s">
        <v>212</v>
      </c>
      <c r="P16" s="232" t="s">
        <v>211</v>
      </c>
      <c r="Q16" s="232" t="s">
        <v>212</v>
      </c>
      <c r="R16" s="308" t="s">
        <v>211</v>
      </c>
      <c r="S16" s="309" t="s">
        <v>212</v>
      </c>
      <c r="T16" s="51" t="s">
        <v>690</v>
      </c>
      <c r="U16" s="51" t="s">
        <v>690</v>
      </c>
      <c r="V16" s="51" t="s">
        <v>691</v>
      </c>
      <c r="W16" s="157" t="s">
        <v>692</v>
      </c>
      <c r="X16" s="51" t="s">
        <v>692</v>
      </c>
      <c r="Y16" s="95" t="s">
        <v>690</v>
      </c>
      <c r="Z16" s="95" t="s">
        <v>690</v>
      </c>
    </row>
    <row r="17" spans="1:26" ht="60">
      <c r="A17" s="164">
        <v>16</v>
      </c>
      <c r="B17" s="12"/>
      <c r="C17" s="12"/>
      <c r="D17" s="32">
        <v>281</v>
      </c>
      <c r="E17" s="32" t="s">
        <v>213</v>
      </c>
      <c r="F17" s="85" t="s">
        <v>214</v>
      </c>
      <c r="G17" s="51" t="s">
        <v>215</v>
      </c>
      <c r="H17" s="51" t="s">
        <v>216</v>
      </c>
      <c r="I17" s="51"/>
      <c r="J17" s="95" t="s">
        <v>693</v>
      </c>
      <c r="K17" s="32" t="s">
        <v>166</v>
      </c>
      <c r="L17" s="32">
        <v>0</v>
      </c>
      <c r="M17" s="90" t="s">
        <v>155</v>
      </c>
      <c r="N17" s="4" t="s">
        <v>219</v>
      </c>
      <c r="O17" s="4" t="s">
        <v>219</v>
      </c>
      <c r="P17" s="232" t="s">
        <v>219</v>
      </c>
      <c r="Q17" s="232" t="s">
        <v>219</v>
      </c>
      <c r="R17" s="308" t="s">
        <v>219</v>
      </c>
      <c r="S17" s="309" t="s">
        <v>219</v>
      </c>
      <c r="T17" s="4" t="s">
        <v>694</v>
      </c>
      <c r="U17" s="4" t="s">
        <v>694</v>
      </c>
      <c r="V17" s="4" t="s">
        <v>695</v>
      </c>
      <c r="W17" s="157" t="s">
        <v>696</v>
      </c>
      <c r="X17" s="51" t="s">
        <v>696</v>
      </c>
      <c r="Y17" s="209" t="s">
        <v>694</v>
      </c>
      <c r="Z17" s="209" t="s">
        <v>694</v>
      </c>
    </row>
    <row r="18" spans="1:26" ht="96">
      <c r="A18" s="164">
        <v>17</v>
      </c>
      <c r="B18" s="106"/>
      <c r="C18" s="106"/>
      <c r="D18" s="107">
        <v>296</v>
      </c>
      <c r="E18" s="107" t="s">
        <v>220</v>
      </c>
      <c r="F18" s="108" t="s">
        <v>221</v>
      </c>
      <c r="G18" s="109" t="s">
        <v>222</v>
      </c>
      <c r="H18" s="109" t="s">
        <v>697</v>
      </c>
      <c r="I18" s="109"/>
      <c r="J18" s="110"/>
      <c r="K18" s="107" t="s">
        <v>166</v>
      </c>
      <c r="L18" s="107">
        <v>0</v>
      </c>
      <c r="M18" s="112"/>
      <c r="N18" s="89" t="s">
        <v>165</v>
      </c>
      <c r="O18" s="89" t="s">
        <v>165</v>
      </c>
      <c r="P18" s="345" t="s">
        <v>165</v>
      </c>
      <c r="Q18" s="345" t="s">
        <v>165</v>
      </c>
      <c r="R18" s="310" t="s">
        <v>165</v>
      </c>
      <c r="S18" s="311" t="s">
        <v>165</v>
      </c>
      <c r="T18" s="89" t="s">
        <v>148</v>
      </c>
      <c r="U18" s="89" t="s">
        <v>148</v>
      </c>
      <c r="V18" s="89" t="s">
        <v>148</v>
      </c>
      <c r="W18" s="157" t="s">
        <v>670</v>
      </c>
      <c r="X18" s="167" t="s">
        <v>670</v>
      </c>
      <c r="Y18" s="207" t="s">
        <v>148</v>
      </c>
      <c r="Z18" s="207" t="s">
        <v>148</v>
      </c>
    </row>
    <row r="19" spans="1:26" ht="132">
      <c r="A19" s="164">
        <v>18</v>
      </c>
      <c r="B19" s="39"/>
      <c r="C19" s="39"/>
      <c r="D19" s="32">
        <v>299</v>
      </c>
      <c r="E19" s="32" t="s">
        <v>27</v>
      </c>
      <c r="F19" s="85" t="s">
        <v>224</v>
      </c>
      <c r="G19" s="51" t="s">
        <v>225</v>
      </c>
      <c r="H19" s="51" t="s">
        <v>226</v>
      </c>
      <c r="I19" s="128"/>
      <c r="J19" s="95" t="s">
        <v>685</v>
      </c>
      <c r="K19" s="32" t="s">
        <v>52</v>
      </c>
      <c r="L19" s="32">
        <v>1</v>
      </c>
      <c r="M19" s="90" t="s">
        <v>155</v>
      </c>
      <c r="N19" s="51" t="s">
        <v>228</v>
      </c>
      <c r="O19" s="51" t="s">
        <v>228</v>
      </c>
      <c r="P19" s="232" t="s">
        <v>228</v>
      </c>
      <c r="Q19" s="232" t="s">
        <v>228</v>
      </c>
      <c r="R19" s="308" t="s">
        <v>228</v>
      </c>
      <c r="S19" s="309" t="s">
        <v>228</v>
      </c>
      <c r="T19" s="51" t="s">
        <v>698</v>
      </c>
      <c r="U19" s="51" t="s">
        <v>698</v>
      </c>
      <c r="V19" s="51" t="s">
        <v>699</v>
      </c>
      <c r="W19" s="157" t="s">
        <v>700</v>
      </c>
      <c r="X19" s="173" t="s">
        <v>700</v>
      </c>
      <c r="Y19" s="95" t="s">
        <v>698</v>
      </c>
      <c r="Z19" s="95" t="s">
        <v>698</v>
      </c>
    </row>
    <row r="20" spans="1:26" ht="118.5" customHeight="1">
      <c r="A20" s="164">
        <v>19</v>
      </c>
      <c r="B20" s="39"/>
      <c r="C20" s="39"/>
      <c r="D20" s="32">
        <v>300</v>
      </c>
      <c r="E20" s="32" t="s">
        <v>206</v>
      </c>
      <c r="F20" s="85" t="s">
        <v>229</v>
      </c>
      <c r="G20" s="51" t="s">
        <v>230</v>
      </c>
      <c r="H20" s="51" t="s">
        <v>701</v>
      </c>
      <c r="I20" s="128"/>
      <c r="J20" s="95" t="s">
        <v>702</v>
      </c>
      <c r="K20" s="32" t="s">
        <v>166</v>
      </c>
      <c r="L20" s="32">
        <v>0</v>
      </c>
      <c r="M20" s="90" t="s">
        <v>155</v>
      </c>
      <c r="N20" s="51" t="s">
        <v>234</v>
      </c>
      <c r="O20" s="51" t="s">
        <v>234</v>
      </c>
      <c r="P20" s="232" t="s">
        <v>703</v>
      </c>
      <c r="Q20" s="232" t="s">
        <v>703</v>
      </c>
      <c r="R20" s="308" t="s">
        <v>703</v>
      </c>
      <c r="S20" s="309" t="s">
        <v>703</v>
      </c>
      <c r="T20" s="51" t="s">
        <v>704</v>
      </c>
      <c r="U20" s="51" t="s">
        <v>704</v>
      </c>
      <c r="V20" s="51" t="s">
        <v>705</v>
      </c>
      <c r="W20" s="157" t="s">
        <v>706</v>
      </c>
      <c r="X20" s="167" t="s">
        <v>706</v>
      </c>
      <c r="Y20" s="95" t="s">
        <v>704</v>
      </c>
      <c r="Z20" s="95" t="s">
        <v>704</v>
      </c>
    </row>
    <row r="21" spans="1:26" ht="48">
      <c r="A21" s="164">
        <v>20</v>
      </c>
      <c r="B21" s="39"/>
      <c r="C21" s="39"/>
      <c r="D21" s="32">
        <v>307</v>
      </c>
      <c r="E21" s="32" t="s">
        <v>213</v>
      </c>
      <c r="F21" s="85" t="s">
        <v>235</v>
      </c>
      <c r="G21" s="51" t="s">
        <v>236</v>
      </c>
      <c r="H21" s="51" t="s">
        <v>237</v>
      </c>
      <c r="I21" s="51"/>
      <c r="J21" s="95" t="s">
        <v>702</v>
      </c>
      <c r="K21" s="32" t="s">
        <v>166</v>
      </c>
      <c r="L21" s="32">
        <v>0</v>
      </c>
      <c r="M21" s="90" t="s">
        <v>155</v>
      </c>
      <c r="N21" s="4" t="s">
        <v>165</v>
      </c>
      <c r="O21" s="4" t="s">
        <v>165</v>
      </c>
      <c r="P21" s="232" t="s">
        <v>165</v>
      </c>
      <c r="Q21" s="232" t="s">
        <v>165</v>
      </c>
      <c r="R21" s="308" t="s">
        <v>165</v>
      </c>
      <c r="S21" s="309" t="s">
        <v>165</v>
      </c>
      <c r="T21" s="4" t="s">
        <v>148</v>
      </c>
      <c r="U21" s="4" t="s">
        <v>148</v>
      </c>
      <c r="V21" s="4" t="s">
        <v>148</v>
      </c>
      <c r="W21" s="157" t="s">
        <v>670</v>
      </c>
      <c r="X21" s="167" t="s">
        <v>670</v>
      </c>
      <c r="Y21" s="209" t="s">
        <v>148</v>
      </c>
      <c r="Z21" s="209" t="s">
        <v>148</v>
      </c>
    </row>
    <row r="22" spans="1:26" ht="120">
      <c r="A22" s="164">
        <v>21</v>
      </c>
      <c r="B22" s="105"/>
      <c r="C22" s="105"/>
      <c r="D22" s="107">
        <v>322</v>
      </c>
      <c r="E22" s="107">
        <v>9</v>
      </c>
      <c r="F22" s="97" t="s">
        <v>238</v>
      </c>
      <c r="G22" s="109" t="s">
        <v>239</v>
      </c>
      <c r="H22" s="109" t="s">
        <v>707</v>
      </c>
      <c r="I22" s="103"/>
      <c r="J22" s="98"/>
      <c r="K22" s="107" t="s">
        <v>58</v>
      </c>
      <c r="L22" s="107">
        <v>0</v>
      </c>
      <c r="M22" s="102"/>
      <c r="N22" s="116" t="s">
        <v>179</v>
      </c>
      <c r="O22" s="99" t="s">
        <v>179</v>
      </c>
      <c r="P22" s="346" t="s">
        <v>179</v>
      </c>
      <c r="Q22" s="346" t="s">
        <v>179</v>
      </c>
      <c r="R22" s="318" t="s">
        <v>179</v>
      </c>
      <c r="S22" s="319" t="s">
        <v>179</v>
      </c>
      <c r="T22" s="116" t="s">
        <v>669</v>
      </c>
      <c r="U22" s="99" t="s">
        <v>669</v>
      </c>
      <c r="V22" s="116" t="s">
        <v>669</v>
      </c>
      <c r="W22" s="103" t="s">
        <v>708</v>
      </c>
      <c r="X22" s="103" t="s">
        <v>708</v>
      </c>
      <c r="Y22" s="116" t="s">
        <v>669</v>
      </c>
      <c r="Z22" s="99" t="s">
        <v>669</v>
      </c>
    </row>
    <row r="23" spans="1:26" ht="186.75" customHeight="1">
      <c r="A23" s="164">
        <v>22</v>
      </c>
      <c r="B23" s="75"/>
      <c r="C23" s="75"/>
      <c r="D23" s="32">
        <v>323</v>
      </c>
      <c r="E23" s="32" t="s">
        <v>241</v>
      </c>
      <c r="F23" s="71" t="s">
        <v>242</v>
      </c>
      <c r="G23" s="51" t="s">
        <v>243</v>
      </c>
      <c r="H23" s="51" t="s">
        <v>244</v>
      </c>
      <c r="I23" s="76"/>
      <c r="J23" s="70"/>
      <c r="K23" s="32" t="s">
        <v>166</v>
      </c>
      <c r="L23" s="32">
        <v>0</v>
      </c>
      <c r="M23" s="91" t="s">
        <v>155</v>
      </c>
      <c r="N23" s="14" t="s">
        <v>246</v>
      </c>
      <c r="O23" s="14" t="s">
        <v>247</v>
      </c>
      <c r="P23" s="232" t="s">
        <v>709</v>
      </c>
      <c r="Q23" s="232" t="s">
        <v>165</v>
      </c>
      <c r="R23" s="308" t="s">
        <v>709</v>
      </c>
      <c r="S23" s="309" t="s">
        <v>165</v>
      </c>
      <c r="T23" s="14" t="s">
        <v>710</v>
      </c>
      <c r="U23" s="14" t="s">
        <v>247</v>
      </c>
      <c r="V23" s="14" t="s">
        <v>711</v>
      </c>
      <c r="W23" s="157" t="s">
        <v>712</v>
      </c>
      <c r="X23" s="167" t="s">
        <v>670</v>
      </c>
      <c r="Y23" s="150" t="s">
        <v>710</v>
      </c>
      <c r="Z23" s="150" t="s">
        <v>247</v>
      </c>
    </row>
    <row r="24" spans="1:26" ht="168">
      <c r="A24" s="164">
        <v>23</v>
      </c>
      <c r="B24" s="70"/>
      <c r="C24" s="70"/>
      <c r="D24" s="32">
        <v>353</v>
      </c>
      <c r="E24" s="32" t="s">
        <v>241</v>
      </c>
      <c r="F24" s="71" t="s">
        <v>242</v>
      </c>
      <c r="G24" s="51" t="s">
        <v>248</v>
      </c>
      <c r="H24" s="51" t="s">
        <v>244</v>
      </c>
      <c r="I24" s="73"/>
      <c r="J24" s="70"/>
      <c r="K24" s="32" t="s">
        <v>166</v>
      </c>
      <c r="L24" s="32">
        <v>0</v>
      </c>
      <c r="M24" s="91" t="s">
        <v>155</v>
      </c>
      <c r="N24" s="14" t="s">
        <v>250</v>
      </c>
      <c r="O24" s="14" t="s">
        <v>247</v>
      </c>
      <c r="P24" s="232" t="s">
        <v>713</v>
      </c>
      <c r="Q24" s="232" t="s">
        <v>165</v>
      </c>
      <c r="R24" s="308" t="s">
        <v>713</v>
      </c>
      <c r="S24" s="309" t="s">
        <v>165</v>
      </c>
      <c r="T24" s="14" t="s">
        <v>714</v>
      </c>
      <c r="U24" s="14" t="s">
        <v>247</v>
      </c>
      <c r="V24" s="14" t="s">
        <v>715</v>
      </c>
      <c r="W24" s="157" t="s">
        <v>716</v>
      </c>
      <c r="X24" s="167" t="s">
        <v>670</v>
      </c>
      <c r="Y24" s="150" t="s">
        <v>714</v>
      </c>
      <c r="Z24" s="150" t="s">
        <v>247</v>
      </c>
    </row>
    <row r="25" spans="1:26" ht="168">
      <c r="A25" s="164">
        <v>24</v>
      </c>
      <c r="B25" s="70"/>
      <c r="C25" s="70"/>
      <c r="D25" s="32">
        <v>383</v>
      </c>
      <c r="E25" s="32" t="s">
        <v>241</v>
      </c>
      <c r="F25" s="71" t="s">
        <v>242</v>
      </c>
      <c r="G25" s="51" t="s">
        <v>252</v>
      </c>
      <c r="H25" s="51" t="s">
        <v>244</v>
      </c>
      <c r="I25" s="73"/>
      <c r="J25" s="70"/>
      <c r="K25" s="32" t="s">
        <v>166</v>
      </c>
      <c r="L25" s="32">
        <v>0</v>
      </c>
      <c r="M25" s="91" t="s">
        <v>155</v>
      </c>
      <c r="N25" s="14" t="s">
        <v>254</v>
      </c>
      <c r="O25" s="14" t="s">
        <v>247</v>
      </c>
      <c r="P25" s="232" t="s">
        <v>717</v>
      </c>
      <c r="Q25" s="232" t="s">
        <v>165</v>
      </c>
      <c r="R25" s="308" t="s">
        <v>717</v>
      </c>
      <c r="S25" s="309" t="s">
        <v>165</v>
      </c>
      <c r="T25" s="14" t="s">
        <v>718</v>
      </c>
      <c r="U25" s="14" t="s">
        <v>247</v>
      </c>
      <c r="V25" s="14" t="s">
        <v>719</v>
      </c>
      <c r="W25" s="157" t="s">
        <v>720</v>
      </c>
      <c r="X25" s="167" t="s">
        <v>670</v>
      </c>
      <c r="Y25" s="150" t="s">
        <v>718</v>
      </c>
      <c r="Z25" s="150" t="s">
        <v>247</v>
      </c>
    </row>
    <row r="26" spans="1:26" ht="168">
      <c r="A26" s="164">
        <v>25</v>
      </c>
      <c r="B26" s="70"/>
      <c r="C26" s="70"/>
      <c r="D26" s="32">
        <v>413</v>
      </c>
      <c r="E26" s="32" t="s">
        <v>241</v>
      </c>
      <c r="F26" s="71" t="s">
        <v>242</v>
      </c>
      <c r="G26" s="51" t="s">
        <v>255</v>
      </c>
      <c r="H26" s="51" t="s">
        <v>244</v>
      </c>
      <c r="I26" s="73" t="s">
        <v>721</v>
      </c>
      <c r="J26" s="70"/>
      <c r="K26" s="32" t="s">
        <v>166</v>
      </c>
      <c r="L26" s="32">
        <v>0</v>
      </c>
      <c r="M26" s="91" t="s">
        <v>155</v>
      </c>
      <c r="N26" s="14" t="s">
        <v>257</v>
      </c>
      <c r="O26" s="14" t="s">
        <v>247</v>
      </c>
      <c r="P26" s="232" t="s">
        <v>722</v>
      </c>
      <c r="Q26" s="232" t="s">
        <v>165</v>
      </c>
      <c r="R26" s="308" t="s">
        <v>722</v>
      </c>
      <c r="S26" s="309" t="s">
        <v>165</v>
      </c>
      <c r="T26" s="14" t="s">
        <v>723</v>
      </c>
      <c r="U26" s="14" t="s">
        <v>247</v>
      </c>
      <c r="V26" s="14" t="s">
        <v>724</v>
      </c>
      <c r="W26" s="157" t="s">
        <v>725</v>
      </c>
      <c r="X26" s="167" t="s">
        <v>670</v>
      </c>
      <c r="Y26" s="150" t="s">
        <v>723</v>
      </c>
      <c r="Z26" s="150" t="s">
        <v>247</v>
      </c>
    </row>
    <row r="27" spans="1:26" ht="210" customHeight="1">
      <c r="A27" s="164">
        <v>26</v>
      </c>
      <c r="B27" s="70"/>
      <c r="C27" s="70"/>
      <c r="D27" s="32">
        <v>443</v>
      </c>
      <c r="E27" s="32" t="s">
        <v>241</v>
      </c>
      <c r="F27" s="71" t="s">
        <v>242</v>
      </c>
      <c r="G27" s="51" t="s">
        <v>258</v>
      </c>
      <c r="H27" s="51" t="s">
        <v>244</v>
      </c>
      <c r="I27" s="73" t="s">
        <v>726</v>
      </c>
      <c r="J27" s="70"/>
      <c r="K27" s="32" t="s">
        <v>166</v>
      </c>
      <c r="L27" s="32">
        <v>0</v>
      </c>
      <c r="M27" s="91" t="s">
        <v>155</v>
      </c>
      <c r="N27" s="14" t="s">
        <v>260</v>
      </c>
      <c r="O27" s="14" t="s">
        <v>247</v>
      </c>
      <c r="P27" s="232" t="s">
        <v>727</v>
      </c>
      <c r="Q27" s="232" t="s">
        <v>165</v>
      </c>
      <c r="R27" s="308" t="s">
        <v>727</v>
      </c>
      <c r="S27" s="309" t="s">
        <v>165</v>
      </c>
      <c r="T27" s="14" t="s">
        <v>728</v>
      </c>
      <c r="U27" s="14" t="s">
        <v>247</v>
      </c>
      <c r="V27" s="14" t="s">
        <v>729</v>
      </c>
      <c r="W27" s="157" t="s">
        <v>730</v>
      </c>
      <c r="X27" s="167" t="s">
        <v>670</v>
      </c>
      <c r="Y27" s="150" t="s">
        <v>728</v>
      </c>
      <c r="Z27" s="150" t="s">
        <v>247</v>
      </c>
    </row>
    <row r="28" spans="1:26" ht="168">
      <c r="A28" s="164">
        <v>27</v>
      </c>
      <c r="B28" s="70"/>
      <c r="C28" s="70"/>
      <c r="D28" s="32">
        <v>473</v>
      </c>
      <c r="E28" s="32" t="s">
        <v>241</v>
      </c>
      <c r="F28" s="71" t="s">
        <v>242</v>
      </c>
      <c r="G28" s="51" t="s">
        <v>262</v>
      </c>
      <c r="H28" s="51" t="s">
        <v>244</v>
      </c>
      <c r="I28" s="73" t="s">
        <v>731</v>
      </c>
      <c r="J28" s="70"/>
      <c r="K28" s="32" t="s">
        <v>166</v>
      </c>
      <c r="L28" s="32">
        <v>0</v>
      </c>
      <c r="M28" s="91" t="s">
        <v>155</v>
      </c>
      <c r="N28" s="14" t="s">
        <v>264</v>
      </c>
      <c r="O28" s="14" t="s">
        <v>247</v>
      </c>
      <c r="P28" s="232" t="s">
        <v>732</v>
      </c>
      <c r="Q28" s="232" t="s">
        <v>165</v>
      </c>
      <c r="R28" s="308" t="s">
        <v>732</v>
      </c>
      <c r="S28" s="309" t="s">
        <v>165</v>
      </c>
      <c r="T28" s="14" t="s">
        <v>733</v>
      </c>
      <c r="U28" s="14" t="s">
        <v>247</v>
      </c>
      <c r="V28" s="14" t="s">
        <v>734</v>
      </c>
      <c r="W28" s="157" t="s">
        <v>735</v>
      </c>
      <c r="X28" s="167" t="s">
        <v>670</v>
      </c>
      <c r="Y28" s="150" t="s">
        <v>733</v>
      </c>
      <c r="Z28" s="150" t="s">
        <v>247</v>
      </c>
    </row>
    <row r="29" spans="1:26" ht="264" customHeight="1">
      <c r="A29" s="164">
        <v>28</v>
      </c>
      <c r="B29" s="75"/>
      <c r="C29" s="75"/>
      <c r="D29" s="32">
        <v>503</v>
      </c>
      <c r="E29" s="32" t="s">
        <v>265</v>
      </c>
      <c r="F29" s="71" t="s">
        <v>266</v>
      </c>
      <c r="G29" s="51" t="s">
        <v>267</v>
      </c>
      <c r="H29" s="51" t="s">
        <v>736</v>
      </c>
      <c r="I29" s="73"/>
      <c r="J29" s="14" t="s">
        <v>737</v>
      </c>
      <c r="K29" s="32" t="s">
        <v>52</v>
      </c>
      <c r="L29" s="32">
        <v>1</v>
      </c>
      <c r="M29" s="91" t="s">
        <v>155</v>
      </c>
      <c r="N29" s="316" t="s">
        <v>738</v>
      </c>
      <c r="O29" s="317" t="s">
        <v>739</v>
      </c>
      <c r="P29" s="316" t="s">
        <v>738</v>
      </c>
      <c r="Q29" s="317" t="s">
        <v>739</v>
      </c>
      <c r="R29" s="316" t="s">
        <v>738</v>
      </c>
      <c r="S29" s="317" t="s">
        <v>739</v>
      </c>
      <c r="T29" s="5" t="s">
        <v>740</v>
      </c>
      <c r="U29" s="5" t="s">
        <v>739</v>
      </c>
      <c r="V29" s="5" t="s">
        <v>741</v>
      </c>
      <c r="W29" s="157" t="s">
        <v>742</v>
      </c>
      <c r="X29" s="167" t="s">
        <v>743</v>
      </c>
      <c r="Y29" s="5" t="s">
        <v>744</v>
      </c>
      <c r="Z29" s="5" t="s">
        <v>745</v>
      </c>
    </row>
    <row r="30" spans="1:26" ht="47.25" customHeight="1">
      <c r="A30" s="164">
        <v>29</v>
      </c>
      <c r="B30" s="75"/>
      <c r="C30" s="75"/>
      <c r="D30" s="32">
        <v>527</v>
      </c>
      <c r="E30" s="32" t="s">
        <v>273</v>
      </c>
      <c r="F30" s="71" t="s">
        <v>274</v>
      </c>
      <c r="G30" s="51" t="s">
        <v>275</v>
      </c>
      <c r="H30" s="51" t="s">
        <v>276</v>
      </c>
      <c r="I30" s="74"/>
      <c r="J30" s="72"/>
      <c r="K30" s="32" t="s">
        <v>166</v>
      </c>
      <c r="L30" s="32">
        <v>0</v>
      </c>
      <c r="M30" s="92" t="s">
        <v>155</v>
      </c>
      <c r="N30" s="74" t="s">
        <v>277</v>
      </c>
      <c r="O30" s="74" t="s">
        <v>165</v>
      </c>
      <c r="P30" s="232" t="s">
        <v>277</v>
      </c>
      <c r="Q30" s="232" t="s">
        <v>165</v>
      </c>
      <c r="R30" s="308" t="s">
        <v>277</v>
      </c>
      <c r="S30" s="309" t="s">
        <v>165</v>
      </c>
      <c r="T30" s="74" t="s">
        <v>663</v>
      </c>
      <c r="U30" s="74" t="s">
        <v>663</v>
      </c>
      <c r="V30" s="74" t="s">
        <v>148</v>
      </c>
      <c r="W30" s="157" t="s">
        <v>670</v>
      </c>
      <c r="X30" s="167" t="s">
        <v>670</v>
      </c>
      <c r="Y30" s="5" t="s">
        <v>663</v>
      </c>
      <c r="Z30" s="5" t="s">
        <v>663</v>
      </c>
    </row>
    <row r="31" spans="1:26" ht="26.25" customHeight="1">
      <c r="A31" s="164">
        <v>30</v>
      </c>
      <c r="B31" s="70"/>
      <c r="C31" s="70"/>
      <c r="D31" s="32">
        <v>607</v>
      </c>
      <c r="E31" s="32" t="s">
        <v>278</v>
      </c>
      <c r="F31" s="71"/>
      <c r="G31" s="51" t="s">
        <v>279</v>
      </c>
      <c r="H31" s="51" t="s">
        <v>280</v>
      </c>
      <c r="I31" s="74"/>
      <c r="J31" s="72"/>
      <c r="K31" s="130" t="s">
        <v>52</v>
      </c>
      <c r="L31" s="32">
        <v>0</v>
      </c>
      <c r="M31" s="92" t="s">
        <v>155</v>
      </c>
      <c r="N31" s="5" t="s">
        <v>281</v>
      </c>
      <c r="O31" s="5" t="s">
        <v>281</v>
      </c>
      <c r="P31" s="176" t="s">
        <v>281</v>
      </c>
      <c r="Q31" s="176" t="s">
        <v>281</v>
      </c>
      <c r="R31" s="316" t="s">
        <v>281</v>
      </c>
      <c r="S31" s="317" t="s">
        <v>281</v>
      </c>
      <c r="T31" s="5" t="s">
        <v>746</v>
      </c>
      <c r="U31" s="5" t="s">
        <v>746</v>
      </c>
      <c r="V31" s="5" t="s">
        <v>746</v>
      </c>
      <c r="W31" s="157" t="s">
        <v>747</v>
      </c>
      <c r="X31" s="167" t="s">
        <v>747</v>
      </c>
      <c r="Y31" s="5" t="s">
        <v>746</v>
      </c>
      <c r="Z31" s="5" t="s">
        <v>746</v>
      </c>
    </row>
    <row r="32" spans="1:26" ht="36.75" customHeight="1">
      <c r="A32" s="164">
        <v>31</v>
      </c>
      <c r="B32" s="70"/>
      <c r="C32" s="70"/>
      <c r="D32" s="32">
        <v>616</v>
      </c>
      <c r="E32" s="32" t="s">
        <v>282</v>
      </c>
      <c r="F32" s="71" t="s">
        <v>283</v>
      </c>
      <c r="G32" s="51" t="s">
        <v>284</v>
      </c>
      <c r="H32" s="51" t="s">
        <v>285</v>
      </c>
      <c r="I32" s="74"/>
      <c r="J32" s="72"/>
      <c r="K32" s="32" t="s">
        <v>52</v>
      </c>
      <c r="L32" s="32">
        <v>0</v>
      </c>
      <c r="M32" s="92" t="s">
        <v>155</v>
      </c>
      <c r="N32" s="5" t="s">
        <v>281</v>
      </c>
      <c r="O32" s="5" t="s">
        <v>281</v>
      </c>
      <c r="P32" s="176" t="s">
        <v>281</v>
      </c>
      <c r="Q32" s="176" t="s">
        <v>281</v>
      </c>
      <c r="R32" s="316" t="s">
        <v>281</v>
      </c>
      <c r="S32" s="317" t="s">
        <v>281</v>
      </c>
      <c r="T32" s="5" t="s">
        <v>746</v>
      </c>
      <c r="U32" s="5" t="s">
        <v>746</v>
      </c>
      <c r="V32" s="5" t="s">
        <v>746</v>
      </c>
      <c r="W32" s="157" t="s">
        <v>747</v>
      </c>
      <c r="X32" s="167" t="s">
        <v>747</v>
      </c>
      <c r="Y32" s="5" t="s">
        <v>746</v>
      </c>
      <c r="Z32" s="5" t="s">
        <v>746</v>
      </c>
    </row>
    <row r="33" spans="1:26" ht="38.25" customHeight="1">
      <c r="A33" s="164">
        <v>32</v>
      </c>
      <c r="B33" s="70"/>
      <c r="C33" s="70"/>
      <c r="D33" s="32">
        <v>625</v>
      </c>
      <c r="E33" s="32" t="s">
        <v>286</v>
      </c>
      <c r="F33" s="71" t="s">
        <v>287</v>
      </c>
      <c r="G33" s="51" t="s">
        <v>288</v>
      </c>
      <c r="H33" s="51" t="s">
        <v>289</v>
      </c>
      <c r="I33" s="74"/>
      <c r="J33" s="72"/>
      <c r="K33" s="32" t="s">
        <v>52</v>
      </c>
      <c r="L33" s="32">
        <v>0</v>
      </c>
      <c r="M33" s="92" t="s">
        <v>155</v>
      </c>
      <c r="N33" s="5" t="s">
        <v>290</v>
      </c>
      <c r="O33" s="5" t="s">
        <v>290</v>
      </c>
      <c r="P33" s="176" t="s">
        <v>290</v>
      </c>
      <c r="Q33" s="176" t="s">
        <v>290</v>
      </c>
      <c r="R33" s="316" t="s">
        <v>290</v>
      </c>
      <c r="S33" s="317" t="s">
        <v>290</v>
      </c>
      <c r="T33" s="5" t="s">
        <v>748</v>
      </c>
      <c r="U33" s="5" t="s">
        <v>748</v>
      </c>
      <c r="V33" s="5" t="s">
        <v>748</v>
      </c>
      <c r="W33" s="157" t="s">
        <v>749</v>
      </c>
      <c r="X33" s="167" t="s">
        <v>749</v>
      </c>
      <c r="Y33" s="5" t="s">
        <v>748</v>
      </c>
      <c r="Z33" s="5" t="s">
        <v>748</v>
      </c>
    </row>
    <row r="34" spans="1:26" ht="36.75" customHeight="1">
      <c r="A34" s="164">
        <v>33</v>
      </c>
      <c r="B34" s="70"/>
      <c r="C34" s="70"/>
      <c r="D34" s="32">
        <v>628</v>
      </c>
      <c r="E34" s="32" t="s">
        <v>291</v>
      </c>
      <c r="F34" s="71" t="s">
        <v>292</v>
      </c>
      <c r="G34" s="51" t="s">
        <v>293</v>
      </c>
      <c r="H34" s="51" t="s">
        <v>294</v>
      </c>
      <c r="I34" s="74"/>
      <c r="J34" s="72"/>
      <c r="K34" s="32" t="s">
        <v>52</v>
      </c>
      <c r="L34" s="32">
        <v>0</v>
      </c>
      <c r="M34" s="92" t="s">
        <v>155</v>
      </c>
      <c r="N34" s="5" t="s">
        <v>295</v>
      </c>
      <c r="O34" s="5" t="s">
        <v>295</v>
      </c>
      <c r="P34" s="176" t="s">
        <v>295</v>
      </c>
      <c r="Q34" s="176" t="s">
        <v>295</v>
      </c>
      <c r="R34" s="316" t="s">
        <v>295</v>
      </c>
      <c r="S34" s="317" t="s">
        <v>295</v>
      </c>
      <c r="T34" s="5" t="s">
        <v>750</v>
      </c>
      <c r="U34" s="5" t="s">
        <v>750</v>
      </c>
      <c r="V34" s="5" t="s">
        <v>750</v>
      </c>
      <c r="W34" s="157" t="s">
        <v>751</v>
      </c>
      <c r="X34" s="167" t="s">
        <v>751</v>
      </c>
      <c r="Y34" s="5" t="s">
        <v>750</v>
      </c>
      <c r="Z34" s="5" t="s">
        <v>750</v>
      </c>
    </row>
    <row r="35" spans="1:26" ht="144">
      <c r="A35" s="164">
        <v>34</v>
      </c>
      <c r="B35" s="75"/>
      <c r="C35" s="75"/>
      <c r="D35" s="32">
        <v>632</v>
      </c>
      <c r="E35" s="32" t="s">
        <v>296</v>
      </c>
      <c r="F35" s="71" t="s">
        <v>297</v>
      </c>
      <c r="G35" s="51" t="s">
        <v>298</v>
      </c>
      <c r="H35" s="51" t="s">
        <v>299</v>
      </c>
      <c r="I35" s="74"/>
      <c r="J35" s="5" t="s">
        <v>300</v>
      </c>
      <c r="K35" s="32" t="s">
        <v>166</v>
      </c>
      <c r="L35" s="32">
        <v>0</v>
      </c>
      <c r="M35" s="92" t="s">
        <v>301</v>
      </c>
      <c r="N35" s="161" t="s">
        <v>165</v>
      </c>
      <c r="O35" s="214" t="s">
        <v>165</v>
      </c>
      <c r="P35" s="348" t="s">
        <v>165</v>
      </c>
      <c r="Q35" s="348" t="s">
        <v>165</v>
      </c>
      <c r="R35" s="314" t="s">
        <v>165</v>
      </c>
      <c r="S35" s="315" t="s">
        <v>165</v>
      </c>
      <c r="T35" s="161" t="s">
        <v>663</v>
      </c>
      <c r="U35" s="74" t="s">
        <v>663</v>
      </c>
      <c r="V35" s="161" t="s">
        <v>148</v>
      </c>
      <c r="W35" s="74" t="s">
        <v>670</v>
      </c>
      <c r="X35" s="74" t="s">
        <v>670</v>
      </c>
      <c r="Y35" s="162" t="s">
        <v>663</v>
      </c>
      <c r="Z35" s="5" t="s">
        <v>663</v>
      </c>
    </row>
    <row r="36" spans="1:26" ht="84">
      <c r="A36" s="164">
        <v>35</v>
      </c>
      <c r="B36" s="105"/>
      <c r="C36" s="105"/>
      <c r="D36" s="107">
        <v>647</v>
      </c>
      <c r="E36" s="107" t="s">
        <v>27</v>
      </c>
      <c r="F36" s="97" t="s">
        <v>302</v>
      </c>
      <c r="G36" s="109" t="s">
        <v>303</v>
      </c>
      <c r="H36" s="115" t="s">
        <v>304</v>
      </c>
      <c r="I36" s="103"/>
      <c r="J36" s="116" t="s">
        <v>685</v>
      </c>
      <c r="K36" s="107" t="s">
        <v>166</v>
      </c>
      <c r="L36" s="107">
        <v>0</v>
      </c>
      <c r="M36" s="102"/>
      <c r="N36" s="216" t="s">
        <v>165</v>
      </c>
      <c r="O36" s="216" t="s">
        <v>165</v>
      </c>
      <c r="P36" s="347" t="s">
        <v>165</v>
      </c>
      <c r="Q36" s="347" t="s">
        <v>165</v>
      </c>
      <c r="R36" s="320" t="s">
        <v>165</v>
      </c>
      <c r="S36" s="321" t="s">
        <v>165</v>
      </c>
      <c r="T36" s="116" t="s">
        <v>663</v>
      </c>
      <c r="U36" s="116" t="s">
        <v>663</v>
      </c>
      <c r="V36" s="116" t="s">
        <v>148</v>
      </c>
      <c r="W36" s="74" t="s">
        <v>670</v>
      </c>
      <c r="X36" s="74" t="s">
        <v>670</v>
      </c>
      <c r="Y36" s="116" t="s">
        <v>663</v>
      </c>
      <c r="Z36" s="116" t="s">
        <v>663</v>
      </c>
    </row>
    <row r="37" spans="1:26" ht="120">
      <c r="A37" s="164">
        <v>36</v>
      </c>
      <c r="B37" s="104"/>
      <c r="C37" s="104"/>
      <c r="D37" s="107">
        <v>648</v>
      </c>
      <c r="E37" s="107" t="s">
        <v>175</v>
      </c>
      <c r="F37" s="97" t="s">
        <v>306</v>
      </c>
      <c r="G37" s="109" t="s">
        <v>307</v>
      </c>
      <c r="H37" s="109" t="s">
        <v>308</v>
      </c>
      <c r="I37" s="103"/>
      <c r="J37" s="116" t="s">
        <v>752</v>
      </c>
      <c r="K37" s="107" t="s">
        <v>58</v>
      </c>
      <c r="L37" s="107">
        <v>0</v>
      </c>
      <c r="M37" s="102"/>
      <c r="N37" s="74" t="s">
        <v>903</v>
      </c>
      <c r="O37" s="74" t="s">
        <v>903</v>
      </c>
      <c r="P37" s="232" t="s">
        <v>903</v>
      </c>
      <c r="Q37" s="232" t="s">
        <v>903</v>
      </c>
      <c r="R37" s="308" t="s">
        <v>311</v>
      </c>
      <c r="S37" s="309" t="s">
        <v>311</v>
      </c>
      <c r="T37" s="103" t="s">
        <v>753</v>
      </c>
      <c r="U37" s="103" t="s">
        <v>753</v>
      </c>
      <c r="V37" s="89" t="s">
        <v>669</v>
      </c>
      <c r="W37" s="157" t="s">
        <v>754</v>
      </c>
      <c r="X37" s="167" t="s">
        <v>755</v>
      </c>
      <c r="Y37" s="207" t="s">
        <v>669</v>
      </c>
      <c r="Z37" s="207" t="s">
        <v>669</v>
      </c>
    </row>
    <row r="38" spans="1:26" ht="168">
      <c r="A38" s="164">
        <v>37</v>
      </c>
      <c r="B38" s="70"/>
      <c r="C38" s="70"/>
      <c r="D38" s="32">
        <v>650</v>
      </c>
      <c r="E38" s="84" t="s">
        <v>27</v>
      </c>
      <c r="F38" s="71" t="s">
        <v>312</v>
      </c>
      <c r="G38" s="51" t="s">
        <v>313</v>
      </c>
      <c r="H38" s="51" t="s">
        <v>756</v>
      </c>
      <c r="I38" s="74"/>
      <c r="J38" s="72"/>
      <c r="K38" s="32" t="s">
        <v>166</v>
      </c>
      <c r="L38" s="32">
        <v>1</v>
      </c>
      <c r="M38" s="92" t="s">
        <v>301</v>
      </c>
      <c r="N38" s="74" t="s">
        <v>165</v>
      </c>
      <c r="O38" s="309" t="s">
        <v>757</v>
      </c>
      <c r="P38" s="232" t="s">
        <v>165</v>
      </c>
      <c r="Q38" s="309" t="s">
        <v>334</v>
      </c>
      <c r="R38" s="314" t="s">
        <v>148</v>
      </c>
      <c r="S38" s="309" t="s">
        <v>757</v>
      </c>
      <c r="T38" s="161" t="s">
        <v>148</v>
      </c>
      <c r="U38" s="51" t="s">
        <v>315</v>
      </c>
      <c r="V38" s="161" t="s">
        <v>148</v>
      </c>
      <c r="W38" s="158" t="s">
        <v>758</v>
      </c>
      <c r="X38" s="167" t="s">
        <v>759</v>
      </c>
      <c r="Y38" s="162" t="s">
        <v>148</v>
      </c>
      <c r="Z38" s="95" t="s">
        <v>315</v>
      </c>
    </row>
    <row r="39" spans="1:26" ht="144">
      <c r="A39" s="164">
        <v>38</v>
      </c>
      <c r="B39" s="70"/>
      <c r="C39" s="70"/>
      <c r="D39" s="32">
        <v>651</v>
      </c>
      <c r="E39" s="32" t="s">
        <v>150</v>
      </c>
      <c r="F39" s="71" t="s">
        <v>316</v>
      </c>
      <c r="G39" s="51" t="s">
        <v>317</v>
      </c>
      <c r="H39" s="51" t="s">
        <v>318</v>
      </c>
      <c r="I39" s="74"/>
      <c r="J39" s="72"/>
      <c r="K39" s="32" t="s">
        <v>166</v>
      </c>
      <c r="L39" s="32">
        <v>1</v>
      </c>
      <c r="M39" s="92" t="s">
        <v>155</v>
      </c>
      <c r="N39" s="74" t="s">
        <v>924</v>
      </c>
      <c r="O39" s="74" t="s">
        <v>923</v>
      </c>
      <c r="P39" s="232" t="s">
        <v>922</v>
      </c>
      <c r="Q39" s="232" t="s">
        <v>922</v>
      </c>
      <c r="R39" s="322" t="s">
        <v>760</v>
      </c>
      <c r="S39" s="323" t="s">
        <v>761</v>
      </c>
      <c r="T39" s="74" t="s">
        <v>762</v>
      </c>
      <c r="U39" s="74" t="s">
        <v>762</v>
      </c>
      <c r="V39" s="74" t="s">
        <v>763</v>
      </c>
      <c r="W39" s="157" t="s">
        <v>764</v>
      </c>
      <c r="X39" s="167" t="s">
        <v>765</v>
      </c>
      <c r="Y39" s="5" t="s">
        <v>766</v>
      </c>
      <c r="Z39" s="5" t="s">
        <v>766</v>
      </c>
    </row>
    <row r="40" spans="1:26" ht="288">
      <c r="A40" s="164">
        <v>39</v>
      </c>
      <c r="B40" s="70"/>
      <c r="C40" s="70"/>
      <c r="D40" s="32">
        <v>660</v>
      </c>
      <c r="E40" s="84" t="s">
        <v>27</v>
      </c>
      <c r="F40" s="71" t="s">
        <v>321</v>
      </c>
      <c r="G40" s="51" t="s">
        <v>322</v>
      </c>
      <c r="H40" s="51" t="s">
        <v>767</v>
      </c>
      <c r="I40" s="74"/>
      <c r="J40" s="72"/>
      <c r="K40" s="32" t="s">
        <v>166</v>
      </c>
      <c r="L40" s="32">
        <v>1</v>
      </c>
      <c r="M40" s="92" t="s">
        <v>301</v>
      </c>
      <c r="N40" s="74" t="s">
        <v>165</v>
      </c>
      <c r="O40" s="309" t="s">
        <v>768</v>
      </c>
      <c r="P40" s="232" t="s">
        <v>165</v>
      </c>
      <c r="Q40" s="309" t="s">
        <v>921</v>
      </c>
      <c r="R40" s="314" t="s">
        <v>165</v>
      </c>
      <c r="S40" s="309" t="s">
        <v>768</v>
      </c>
      <c r="T40" s="161" t="s">
        <v>148</v>
      </c>
      <c r="U40" s="51" t="s">
        <v>324</v>
      </c>
      <c r="V40" s="161" t="s">
        <v>148</v>
      </c>
      <c r="W40" s="158" t="s">
        <v>769</v>
      </c>
      <c r="X40" s="167" t="s">
        <v>759</v>
      </c>
      <c r="Y40" s="162" t="s">
        <v>148</v>
      </c>
      <c r="Z40" s="95" t="s">
        <v>315</v>
      </c>
    </row>
    <row r="41" spans="1:26" ht="302.25" customHeight="1">
      <c r="A41" s="164">
        <v>40</v>
      </c>
      <c r="B41" s="70"/>
      <c r="C41" s="70"/>
      <c r="D41" s="32">
        <v>661</v>
      </c>
      <c r="E41" s="32" t="s">
        <v>27</v>
      </c>
      <c r="F41" s="71" t="s">
        <v>325</v>
      </c>
      <c r="G41" s="51" t="s">
        <v>326</v>
      </c>
      <c r="H41" s="51" t="s">
        <v>770</v>
      </c>
      <c r="I41" s="74"/>
      <c r="J41" s="72"/>
      <c r="K41" s="32" t="s">
        <v>166</v>
      </c>
      <c r="L41" s="32">
        <v>0</v>
      </c>
      <c r="M41" s="92" t="s">
        <v>301</v>
      </c>
      <c r="N41" s="214" t="s">
        <v>165</v>
      </c>
      <c r="O41" s="214" t="s">
        <v>165</v>
      </c>
      <c r="P41" s="348" t="s">
        <v>165</v>
      </c>
      <c r="Q41" s="348" t="s">
        <v>165</v>
      </c>
      <c r="R41" s="314" t="s">
        <v>165</v>
      </c>
      <c r="S41" s="315" t="s">
        <v>165</v>
      </c>
      <c r="T41" s="161" t="s">
        <v>148</v>
      </c>
      <c r="U41" s="74" t="s">
        <v>148</v>
      </c>
      <c r="V41" s="161" t="s">
        <v>148</v>
      </c>
      <c r="W41" s="158" t="s">
        <v>670</v>
      </c>
      <c r="X41" s="167" t="s">
        <v>670</v>
      </c>
      <c r="Y41" s="162" t="s">
        <v>148</v>
      </c>
      <c r="Z41" s="5" t="s">
        <v>148</v>
      </c>
    </row>
    <row r="42" spans="1:26" ht="59.25" customHeight="1">
      <c r="A42" s="164">
        <v>41</v>
      </c>
      <c r="B42" s="70"/>
      <c r="C42" s="70"/>
      <c r="D42" s="32">
        <v>662</v>
      </c>
      <c r="E42" s="32" t="s">
        <v>27</v>
      </c>
      <c r="F42" s="71" t="s">
        <v>328</v>
      </c>
      <c r="G42" s="51" t="s">
        <v>329</v>
      </c>
      <c r="H42" s="51" t="s">
        <v>330</v>
      </c>
      <c r="I42" s="74"/>
      <c r="J42" s="72"/>
      <c r="K42" s="32" t="s">
        <v>166</v>
      </c>
      <c r="L42" s="32">
        <v>0</v>
      </c>
      <c r="M42" s="92" t="s">
        <v>301</v>
      </c>
      <c r="N42" s="161" t="s">
        <v>148</v>
      </c>
      <c r="O42" s="214" t="s">
        <v>165</v>
      </c>
      <c r="P42" s="348" t="s">
        <v>148</v>
      </c>
      <c r="Q42" s="348" t="s">
        <v>165</v>
      </c>
      <c r="R42" s="314" t="s">
        <v>148</v>
      </c>
      <c r="S42" s="315" t="s">
        <v>165</v>
      </c>
      <c r="T42" s="161" t="s">
        <v>148</v>
      </c>
      <c r="U42" s="74" t="s">
        <v>148</v>
      </c>
      <c r="V42" s="161" t="s">
        <v>148</v>
      </c>
      <c r="W42" s="158" t="s">
        <v>670</v>
      </c>
      <c r="X42" s="167" t="s">
        <v>670</v>
      </c>
      <c r="Y42" s="162" t="s">
        <v>148</v>
      </c>
      <c r="Z42" s="5" t="s">
        <v>148</v>
      </c>
    </row>
    <row r="43" spans="1:26" ht="162.75" customHeight="1">
      <c r="A43" s="164">
        <v>42</v>
      </c>
      <c r="B43" s="70"/>
      <c r="C43" s="70"/>
      <c r="D43" s="32">
        <v>663</v>
      </c>
      <c r="E43" s="32" t="s">
        <v>27</v>
      </c>
      <c r="F43" s="71" t="s">
        <v>331</v>
      </c>
      <c r="G43" s="51" t="s">
        <v>332</v>
      </c>
      <c r="H43" s="51" t="s">
        <v>771</v>
      </c>
      <c r="I43" s="74"/>
      <c r="J43" s="72"/>
      <c r="K43" s="32" t="s">
        <v>166</v>
      </c>
      <c r="L43" s="32">
        <v>0</v>
      </c>
      <c r="M43" s="92" t="s">
        <v>301</v>
      </c>
      <c r="N43" s="74" t="s">
        <v>165</v>
      </c>
      <c r="O43" s="309" t="s">
        <v>768</v>
      </c>
      <c r="P43" s="232" t="s">
        <v>165</v>
      </c>
      <c r="Q43" s="317" t="s">
        <v>334</v>
      </c>
      <c r="R43" s="314" t="s">
        <v>165</v>
      </c>
      <c r="S43" s="317" t="s">
        <v>757</v>
      </c>
      <c r="T43" s="161" t="s">
        <v>148</v>
      </c>
      <c r="U43" s="128" t="s">
        <v>315</v>
      </c>
      <c r="V43" s="161" t="s">
        <v>148</v>
      </c>
      <c r="W43" s="158" t="s">
        <v>670</v>
      </c>
      <c r="X43" s="167" t="s">
        <v>670</v>
      </c>
      <c r="Y43" s="162" t="s">
        <v>148</v>
      </c>
      <c r="Z43" s="5" t="s">
        <v>663</v>
      </c>
    </row>
    <row r="44" spans="1:26" ht="122.25" customHeight="1">
      <c r="A44" s="164">
        <v>43</v>
      </c>
      <c r="B44" s="75"/>
      <c r="C44" s="75"/>
      <c r="D44" s="32">
        <v>664</v>
      </c>
      <c r="E44" s="32">
        <v>9</v>
      </c>
      <c r="F44" s="71" t="s">
        <v>335</v>
      </c>
      <c r="G44" s="51" t="s">
        <v>336</v>
      </c>
      <c r="H44" s="51" t="s">
        <v>337</v>
      </c>
      <c r="I44" s="74"/>
      <c r="J44" s="72"/>
      <c r="K44" s="32" t="s">
        <v>166</v>
      </c>
      <c r="L44" s="32">
        <v>1</v>
      </c>
      <c r="M44" s="92" t="s">
        <v>155</v>
      </c>
      <c r="N44" s="51" t="s">
        <v>340</v>
      </c>
      <c r="O44" s="51" t="s">
        <v>340</v>
      </c>
      <c r="P44" s="232" t="s">
        <v>772</v>
      </c>
      <c r="Q44" s="232" t="s">
        <v>772</v>
      </c>
      <c r="R44" s="308" t="s">
        <v>772</v>
      </c>
      <c r="S44" s="309" t="s">
        <v>772</v>
      </c>
      <c r="T44" s="51" t="s">
        <v>773</v>
      </c>
      <c r="U44" s="51" t="s">
        <v>773</v>
      </c>
      <c r="V44" s="51" t="s">
        <v>774</v>
      </c>
      <c r="W44" s="167" t="s">
        <v>775</v>
      </c>
      <c r="X44" s="167" t="s">
        <v>775</v>
      </c>
      <c r="Y44" s="95" t="s">
        <v>776</v>
      </c>
      <c r="Z44" s="95" t="s">
        <v>776</v>
      </c>
    </row>
    <row r="45" spans="1:26" ht="108">
      <c r="A45" s="164">
        <v>44</v>
      </c>
      <c r="B45" s="70"/>
      <c r="C45" s="70"/>
      <c r="D45" s="32">
        <v>665</v>
      </c>
      <c r="E45" s="32" t="s">
        <v>167</v>
      </c>
      <c r="F45" s="71" t="s">
        <v>168</v>
      </c>
      <c r="G45" s="51" t="s">
        <v>341</v>
      </c>
      <c r="H45" s="51" t="s">
        <v>342</v>
      </c>
      <c r="I45" s="74"/>
      <c r="J45" s="72"/>
      <c r="K45" s="32" t="s">
        <v>166</v>
      </c>
      <c r="L45" s="32">
        <v>1</v>
      </c>
      <c r="M45" s="92" t="s">
        <v>155</v>
      </c>
      <c r="N45" s="51" t="s">
        <v>345</v>
      </c>
      <c r="O45" s="51" t="s">
        <v>904</v>
      </c>
      <c r="P45" s="232" t="s">
        <v>345</v>
      </c>
      <c r="Q45" s="232" t="s">
        <v>778</v>
      </c>
      <c r="R45" s="324" t="s">
        <v>777</v>
      </c>
      <c r="S45" s="309" t="s">
        <v>778</v>
      </c>
      <c r="T45" s="51" t="s">
        <v>779</v>
      </c>
      <c r="U45" s="51" t="s">
        <v>780</v>
      </c>
      <c r="V45" s="74" t="s">
        <v>781</v>
      </c>
      <c r="W45" s="51" t="s">
        <v>782</v>
      </c>
      <c r="X45" s="51" t="s">
        <v>782</v>
      </c>
      <c r="Y45" s="95" t="s">
        <v>783</v>
      </c>
      <c r="Z45" s="95" t="s">
        <v>783</v>
      </c>
    </row>
    <row r="46" spans="1:26" ht="153.75" customHeight="1">
      <c r="A46" s="164">
        <v>45</v>
      </c>
      <c r="B46" s="75"/>
      <c r="C46" s="75"/>
      <c r="D46" s="32">
        <v>670</v>
      </c>
      <c r="E46" s="32" t="s">
        <v>27</v>
      </c>
      <c r="F46" s="71" t="s">
        <v>346</v>
      </c>
      <c r="G46" s="51" t="s">
        <v>347</v>
      </c>
      <c r="H46" s="51" t="s">
        <v>784</v>
      </c>
      <c r="I46" s="74"/>
      <c r="J46" s="72"/>
      <c r="K46" s="32" t="s">
        <v>166</v>
      </c>
      <c r="L46" s="32">
        <v>1</v>
      </c>
      <c r="M46" s="92" t="s">
        <v>301</v>
      </c>
      <c r="N46" s="74" t="s">
        <v>165</v>
      </c>
      <c r="O46" s="74" t="s">
        <v>165</v>
      </c>
      <c r="P46" s="232" t="s">
        <v>165</v>
      </c>
      <c r="Q46" s="232" t="s">
        <v>165</v>
      </c>
      <c r="R46" s="308" t="s">
        <v>165</v>
      </c>
      <c r="S46" s="309" t="s">
        <v>165</v>
      </c>
      <c r="T46" s="161" t="s">
        <v>148</v>
      </c>
      <c r="U46" s="74" t="s">
        <v>148</v>
      </c>
      <c r="V46" s="161" t="s">
        <v>148</v>
      </c>
      <c r="W46" s="74" t="s">
        <v>670</v>
      </c>
      <c r="X46" s="74" t="s">
        <v>670</v>
      </c>
      <c r="Y46" s="162" t="s">
        <v>148</v>
      </c>
      <c r="Z46" s="5" t="s">
        <v>148</v>
      </c>
    </row>
    <row r="47" spans="1:26" ht="192">
      <c r="A47" s="164">
        <v>46</v>
      </c>
      <c r="B47" s="70"/>
      <c r="C47" s="70"/>
      <c r="D47" s="32">
        <v>671</v>
      </c>
      <c r="E47" s="32" t="s">
        <v>27</v>
      </c>
      <c r="F47" s="71" t="s">
        <v>349</v>
      </c>
      <c r="G47" s="51" t="s">
        <v>350</v>
      </c>
      <c r="H47" s="51" t="s">
        <v>785</v>
      </c>
      <c r="I47" s="74"/>
      <c r="J47" s="72"/>
      <c r="K47" s="32" t="s">
        <v>166</v>
      </c>
      <c r="L47" s="32">
        <v>0</v>
      </c>
      <c r="M47" s="92" t="s">
        <v>301</v>
      </c>
      <c r="N47" s="74" t="s">
        <v>165</v>
      </c>
      <c r="O47" s="74" t="s">
        <v>165</v>
      </c>
      <c r="P47" s="232" t="s">
        <v>165</v>
      </c>
      <c r="Q47" s="232" t="s">
        <v>165</v>
      </c>
      <c r="R47" s="308" t="s">
        <v>165</v>
      </c>
      <c r="S47" s="309" t="s">
        <v>165</v>
      </c>
      <c r="T47" s="161" t="s">
        <v>148</v>
      </c>
      <c r="U47" s="74" t="s">
        <v>148</v>
      </c>
      <c r="V47" s="161" t="s">
        <v>148</v>
      </c>
      <c r="W47" s="74" t="s">
        <v>670</v>
      </c>
      <c r="X47" s="74" t="s">
        <v>670</v>
      </c>
      <c r="Y47" s="162" t="s">
        <v>148</v>
      </c>
      <c r="Z47" s="5" t="s">
        <v>148</v>
      </c>
    </row>
    <row r="48" spans="1:26" ht="216">
      <c r="A48" s="164">
        <v>47</v>
      </c>
      <c r="B48" s="70"/>
      <c r="C48" s="70"/>
      <c r="D48" s="32">
        <v>672</v>
      </c>
      <c r="E48" s="32" t="s">
        <v>27</v>
      </c>
      <c r="F48" s="71" t="s">
        <v>352</v>
      </c>
      <c r="G48" s="51" t="s">
        <v>353</v>
      </c>
      <c r="H48" s="51" t="s">
        <v>786</v>
      </c>
      <c r="I48" s="74"/>
      <c r="J48" s="72"/>
      <c r="K48" s="32" t="s">
        <v>166</v>
      </c>
      <c r="L48" s="32">
        <v>0</v>
      </c>
      <c r="M48" s="92" t="s">
        <v>301</v>
      </c>
      <c r="N48" s="74" t="s">
        <v>165</v>
      </c>
      <c r="O48" s="74" t="s">
        <v>165</v>
      </c>
      <c r="P48" s="232" t="s">
        <v>165</v>
      </c>
      <c r="Q48" s="232" t="s">
        <v>165</v>
      </c>
      <c r="R48" s="308" t="s">
        <v>165</v>
      </c>
      <c r="S48" s="309" t="s">
        <v>165</v>
      </c>
      <c r="T48" s="161" t="s">
        <v>148</v>
      </c>
      <c r="U48" s="74" t="s">
        <v>148</v>
      </c>
      <c r="V48" s="161" t="s">
        <v>148</v>
      </c>
      <c r="W48" s="74" t="s">
        <v>670</v>
      </c>
      <c r="X48" s="74" t="s">
        <v>670</v>
      </c>
      <c r="Y48" s="162" t="s">
        <v>148</v>
      </c>
      <c r="Z48" s="5" t="s">
        <v>148</v>
      </c>
    </row>
    <row r="49" spans="1:26" ht="168">
      <c r="A49" s="164">
        <v>48</v>
      </c>
      <c r="B49" s="70"/>
      <c r="C49" s="70"/>
      <c r="D49" s="32">
        <v>673</v>
      </c>
      <c r="E49" s="32" t="s">
        <v>27</v>
      </c>
      <c r="F49" s="71" t="s">
        <v>355</v>
      </c>
      <c r="G49" s="51" t="s">
        <v>356</v>
      </c>
      <c r="H49" s="51" t="s">
        <v>787</v>
      </c>
      <c r="I49" s="74"/>
      <c r="J49" s="72"/>
      <c r="K49" s="32" t="s">
        <v>166</v>
      </c>
      <c r="L49" s="32">
        <v>0</v>
      </c>
      <c r="M49" s="92" t="s">
        <v>301</v>
      </c>
      <c r="N49" s="74" t="s">
        <v>165</v>
      </c>
      <c r="O49" s="74" t="s">
        <v>165</v>
      </c>
      <c r="P49" s="232" t="s">
        <v>165</v>
      </c>
      <c r="Q49" s="232" t="s">
        <v>165</v>
      </c>
      <c r="R49" s="308" t="s">
        <v>165</v>
      </c>
      <c r="S49" s="309" t="s">
        <v>165</v>
      </c>
      <c r="T49" s="161" t="s">
        <v>148</v>
      </c>
      <c r="U49" s="74" t="s">
        <v>148</v>
      </c>
      <c r="V49" s="161" t="s">
        <v>148</v>
      </c>
      <c r="W49" s="74" t="s">
        <v>670</v>
      </c>
      <c r="X49" s="74" t="s">
        <v>670</v>
      </c>
      <c r="Y49" s="162" t="s">
        <v>148</v>
      </c>
      <c r="Z49" s="5" t="s">
        <v>148</v>
      </c>
    </row>
    <row r="50" spans="1:26" ht="216">
      <c r="A50" s="164">
        <v>49</v>
      </c>
      <c r="B50" s="75"/>
      <c r="C50" s="75"/>
      <c r="D50" s="32">
        <v>674</v>
      </c>
      <c r="E50" s="32" t="s">
        <v>27</v>
      </c>
      <c r="F50" s="71" t="s">
        <v>358</v>
      </c>
      <c r="G50" s="51" t="s">
        <v>359</v>
      </c>
      <c r="H50" s="51" t="s">
        <v>788</v>
      </c>
      <c r="I50" s="74"/>
      <c r="J50" s="72"/>
      <c r="K50" s="32" t="s">
        <v>166</v>
      </c>
      <c r="L50" s="32">
        <v>0</v>
      </c>
      <c r="M50" s="92" t="s">
        <v>301</v>
      </c>
      <c r="N50" s="74" t="s">
        <v>165</v>
      </c>
      <c r="O50" s="74" t="s">
        <v>165</v>
      </c>
      <c r="P50" s="232" t="s">
        <v>165</v>
      </c>
      <c r="Q50" s="232" t="s">
        <v>165</v>
      </c>
      <c r="R50" s="308" t="s">
        <v>165</v>
      </c>
      <c r="S50" s="309" t="s">
        <v>165</v>
      </c>
      <c r="T50" s="161" t="s">
        <v>148</v>
      </c>
      <c r="U50" s="74" t="s">
        <v>148</v>
      </c>
      <c r="V50" s="161" t="s">
        <v>148</v>
      </c>
      <c r="W50" s="74" t="s">
        <v>670</v>
      </c>
      <c r="X50" s="74" t="s">
        <v>670</v>
      </c>
      <c r="Y50" s="162" t="s">
        <v>148</v>
      </c>
      <c r="Z50" s="5" t="s">
        <v>148</v>
      </c>
    </row>
    <row r="51" spans="1:26" ht="189.75" customHeight="1">
      <c r="A51" s="164">
        <v>50</v>
      </c>
      <c r="B51" s="70"/>
      <c r="C51" s="70"/>
      <c r="D51" s="32">
        <v>675</v>
      </c>
      <c r="E51" s="32" t="s">
        <v>27</v>
      </c>
      <c r="F51" s="71" t="s">
        <v>361</v>
      </c>
      <c r="G51" s="51" t="s">
        <v>362</v>
      </c>
      <c r="H51" s="51" t="s">
        <v>789</v>
      </c>
      <c r="I51" s="74"/>
      <c r="J51" s="72"/>
      <c r="K51" s="32" t="s">
        <v>166</v>
      </c>
      <c r="L51" s="32">
        <v>0</v>
      </c>
      <c r="M51" s="92" t="s">
        <v>301</v>
      </c>
      <c r="N51" s="74" t="s">
        <v>165</v>
      </c>
      <c r="O51" s="309" t="s">
        <v>790</v>
      </c>
      <c r="P51" s="232" t="s">
        <v>165</v>
      </c>
      <c r="Q51" s="309" t="s">
        <v>790</v>
      </c>
      <c r="R51" s="308" t="s">
        <v>165</v>
      </c>
      <c r="S51" s="309" t="s">
        <v>790</v>
      </c>
      <c r="T51" s="161" t="s">
        <v>148</v>
      </c>
      <c r="U51" s="128" t="s">
        <v>791</v>
      </c>
      <c r="V51" s="161" t="s">
        <v>148</v>
      </c>
      <c r="W51" s="74" t="s">
        <v>670</v>
      </c>
      <c r="X51" s="74" t="s">
        <v>670</v>
      </c>
      <c r="Y51" s="162" t="s">
        <v>148</v>
      </c>
      <c r="Z51" s="5" t="s">
        <v>148</v>
      </c>
    </row>
    <row r="52" spans="1:26" ht="114.75" customHeight="1">
      <c r="A52" s="164">
        <v>51</v>
      </c>
      <c r="B52" s="105"/>
      <c r="C52" s="105"/>
      <c r="D52" s="96">
        <v>676</v>
      </c>
      <c r="E52" s="107" t="s">
        <v>27</v>
      </c>
      <c r="F52" s="97" t="s">
        <v>365</v>
      </c>
      <c r="G52" s="109" t="s">
        <v>366</v>
      </c>
      <c r="H52" s="115" t="s">
        <v>792</v>
      </c>
      <c r="I52" s="103"/>
      <c r="J52" s="98"/>
      <c r="K52" s="107" t="s">
        <v>166</v>
      </c>
      <c r="L52" s="107">
        <v>0</v>
      </c>
      <c r="M52" s="102"/>
      <c r="N52" s="98"/>
      <c r="O52" s="99"/>
      <c r="P52" s="354"/>
      <c r="Q52" s="346"/>
      <c r="R52" s="325" t="s">
        <v>793</v>
      </c>
      <c r="S52" s="319" t="s">
        <v>793</v>
      </c>
      <c r="T52" s="98"/>
      <c r="U52" s="99"/>
      <c r="V52" s="98"/>
      <c r="W52" s="103" t="s">
        <v>670</v>
      </c>
      <c r="X52" s="103" t="s">
        <v>670</v>
      </c>
      <c r="Y52" s="116"/>
      <c r="Z52" s="99"/>
    </row>
    <row r="53" spans="1:26" ht="72">
      <c r="A53" s="164">
        <v>52</v>
      </c>
      <c r="B53" s="75"/>
      <c r="C53" s="75"/>
      <c r="D53" s="32">
        <v>677</v>
      </c>
      <c r="E53" s="32" t="s">
        <v>27</v>
      </c>
      <c r="F53" s="71" t="s">
        <v>368</v>
      </c>
      <c r="G53" s="51" t="s">
        <v>369</v>
      </c>
      <c r="H53" s="51" t="s">
        <v>370</v>
      </c>
      <c r="I53" s="74"/>
      <c r="J53" s="72"/>
      <c r="K53" s="32" t="s">
        <v>166</v>
      </c>
      <c r="L53" s="32">
        <v>0</v>
      </c>
      <c r="M53" s="92" t="s">
        <v>301</v>
      </c>
      <c r="N53" s="214" t="s">
        <v>165</v>
      </c>
      <c r="O53" s="214" t="s">
        <v>165</v>
      </c>
      <c r="P53" s="348" t="s">
        <v>165</v>
      </c>
      <c r="Q53" s="348" t="s">
        <v>165</v>
      </c>
      <c r="R53" s="314" t="s">
        <v>165</v>
      </c>
      <c r="S53" s="315" t="s">
        <v>165</v>
      </c>
      <c r="T53" s="161" t="s">
        <v>148</v>
      </c>
      <c r="U53" s="74" t="s">
        <v>148</v>
      </c>
      <c r="V53" s="161" t="s">
        <v>148</v>
      </c>
      <c r="W53" s="74" t="s">
        <v>670</v>
      </c>
      <c r="X53" s="74" t="s">
        <v>670</v>
      </c>
      <c r="Y53" s="162" t="s">
        <v>148</v>
      </c>
      <c r="Z53" s="5" t="s">
        <v>148</v>
      </c>
    </row>
    <row r="54" spans="1:26" ht="252">
      <c r="A54" s="164">
        <v>53</v>
      </c>
      <c r="B54" s="70"/>
      <c r="C54" s="70"/>
      <c r="D54" s="32">
        <v>678</v>
      </c>
      <c r="E54" s="32" t="s">
        <v>150</v>
      </c>
      <c r="F54" s="71" t="s">
        <v>371</v>
      </c>
      <c r="G54" s="51" t="s">
        <v>794</v>
      </c>
      <c r="H54" s="51" t="s">
        <v>373</v>
      </c>
      <c r="I54" s="74"/>
      <c r="J54" s="5" t="s">
        <v>375</v>
      </c>
      <c r="K54" s="32" t="s">
        <v>166</v>
      </c>
      <c r="L54" s="32">
        <v>1</v>
      </c>
      <c r="M54" s="92" t="s">
        <v>155</v>
      </c>
      <c r="N54" s="355" t="s">
        <v>920</v>
      </c>
      <c r="O54" s="74" t="s">
        <v>919</v>
      </c>
      <c r="P54" s="232" t="s">
        <v>795</v>
      </c>
      <c r="Q54" s="232" t="s">
        <v>796</v>
      </c>
      <c r="R54" s="308" t="s">
        <v>795</v>
      </c>
      <c r="S54" s="309" t="s">
        <v>796</v>
      </c>
      <c r="T54" s="74" t="s">
        <v>797</v>
      </c>
      <c r="U54" s="74" t="s">
        <v>798</v>
      </c>
      <c r="V54" s="74" t="s">
        <v>799</v>
      </c>
      <c r="W54" s="157" t="s">
        <v>800</v>
      </c>
      <c r="X54" s="167" t="s">
        <v>801</v>
      </c>
      <c r="Y54" s="5" t="s">
        <v>797</v>
      </c>
      <c r="Z54" s="5" t="s">
        <v>798</v>
      </c>
    </row>
    <row r="55" spans="1:26" ht="228">
      <c r="A55" s="164">
        <v>54</v>
      </c>
      <c r="B55" s="75"/>
      <c r="C55" s="75"/>
      <c r="D55" s="32">
        <v>687</v>
      </c>
      <c r="E55" s="32" t="s">
        <v>377</v>
      </c>
      <c r="F55" s="71" t="s">
        <v>378</v>
      </c>
      <c r="G55" s="51" t="s">
        <v>379</v>
      </c>
      <c r="H55" s="51" t="s">
        <v>380</v>
      </c>
      <c r="I55" s="74"/>
      <c r="J55" s="72"/>
      <c r="K55" s="32" t="s">
        <v>166</v>
      </c>
      <c r="L55" s="32">
        <v>1</v>
      </c>
      <c r="M55" s="92" t="s">
        <v>155</v>
      </c>
      <c r="N55" s="5" t="s">
        <v>382</v>
      </c>
      <c r="O55" s="5" t="s">
        <v>383</v>
      </c>
      <c r="P55" s="176" t="s">
        <v>802</v>
      </c>
      <c r="Q55" s="176" t="s">
        <v>803</v>
      </c>
      <c r="R55" s="316" t="s">
        <v>802</v>
      </c>
      <c r="S55" s="317" t="s">
        <v>803</v>
      </c>
      <c r="T55" s="5" t="s">
        <v>804</v>
      </c>
      <c r="U55" s="5" t="s">
        <v>805</v>
      </c>
      <c r="V55" s="5" t="s">
        <v>806</v>
      </c>
      <c r="W55" s="157" t="s">
        <v>807</v>
      </c>
      <c r="X55" s="167" t="s">
        <v>808</v>
      </c>
      <c r="Y55" s="5" t="s">
        <v>804</v>
      </c>
      <c r="Z55" s="5" t="s">
        <v>805</v>
      </c>
    </row>
    <row r="56" spans="1:26" ht="228">
      <c r="A56" s="164">
        <v>55</v>
      </c>
      <c r="B56" s="75"/>
      <c r="C56" s="75"/>
      <c r="D56" s="32">
        <v>704</v>
      </c>
      <c r="E56" s="32" t="s">
        <v>27</v>
      </c>
      <c r="F56" s="71" t="s">
        <v>385</v>
      </c>
      <c r="G56" s="51" t="s">
        <v>386</v>
      </c>
      <c r="H56" s="51" t="s">
        <v>809</v>
      </c>
      <c r="I56" s="74"/>
      <c r="J56" s="72"/>
      <c r="K56" s="32" t="s">
        <v>166</v>
      </c>
      <c r="L56" s="32">
        <v>1</v>
      </c>
      <c r="M56" s="92" t="s">
        <v>155</v>
      </c>
      <c r="N56" s="5" t="s">
        <v>389</v>
      </c>
      <c r="O56" s="5" t="s">
        <v>390</v>
      </c>
      <c r="P56" s="176" t="s">
        <v>810</v>
      </c>
      <c r="Q56" s="176" t="s">
        <v>811</v>
      </c>
      <c r="R56" s="316" t="s">
        <v>810</v>
      </c>
      <c r="S56" s="317" t="s">
        <v>811</v>
      </c>
      <c r="T56" s="5" t="s">
        <v>812</v>
      </c>
      <c r="U56" s="5" t="s">
        <v>813</v>
      </c>
      <c r="V56" s="5" t="s">
        <v>814</v>
      </c>
      <c r="W56" s="157" t="s">
        <v>815</v>
      </c>
      <c r="X56" s="167" t="s">
        <v>816</v>
      </c>
      <c r="Y56" s="5" t="s">
        <v>812</v>
      </c>
      <c r="Z56" s="5" t="s">
        <v>805</v>
      </c>
    </row>
    <row r="57" spans="1:26" ht="228">
      <c r="A57" s="164">
        <v>56</v>
      </c>
      <c r="B57" s="70"/>
      <c r="C57" s="70"/>
      <c r="D57" s="32">
        <v>705</v>
      </c>
      <c r="E57" s="32" t="s">
        <v>391</v>
      </c>
      <c r="F57" s="71" t="s">
        <v>392</v>
      </c>
      <c r="G57" s="51" t="s">
        <v>393</v>
      </c>
      <c r="H57" s="51" t="s">
        <v>394</v>
      </c>
      <c r="I57" s="118"/>
      <c r="J57" s="72"/>
      <c r="K57" s="32" t="s">
        <v>166</v>
      </c>
      <c r="L57" s="32">
        <v>1</v>
      </c>
      <c r="M57" s="92" t="s">
        <v>155</v>
      </c>
      <c r="N57" s="316" t="s">
        <v>905</v>
      </c>
      <c r="O57" s="317" t="s">
        <v>818</v>
      </c>
      <c r="P57" s="316" t="s">
        <v>817</v>
      </c>
      <c r="Q57" s="317" t="s">
        <v>818</v>
      </c>
      <c r="R57" s="316" t="s">
        <v>817</v>
      </c>
      <c r="S57" s="317" t="s">
        <v>818</v>
      </c>
      <c r="T57" s="5" t="s">
        <v>819</v>
      </c>
      <c r="U57" s="5" t="s">
        <v>820</v>
      </c>
      <c r="V57" s="74" t="s">
        <v>821</v>
      </c>
      <c r="W57" s="157" t="s">
        <v>822</v>
      </c>
      <c r="X57" s="167" t="s">
        <v>823</v>
      </c>
      <c r="Y57" s="5" t="s">
        <v>824</v>
      </c>
      <c r="Z57" s="5" t="s">
        <v>825</v>
      </c>
    </row>
    <row r="58" spans="1:26" ht="123.75" customHeight="1">
      <c r="A58" s="164">
        <v>57</v>
      </c>
      <c r="B58" s="70"/>
      <c r="C58" s="70"/>
      <c r="D58" s="32">
        <v>727</v>
      </c>
      <c r="E58" s="32" t="s">
        <v>27</v>
      </c>
      <c r="F58" s="71" t="s">
        <v>401</v>
      </c>
      <c r="G58" s="51" t="s">
        <v>402</v>
      </c>
      <c r="H58" s="51" t="s">
        <v>403</v>
      </c>
      <c r="I58" s="118"/>
      <c r="J58" s="5" t="s">
        <v>826</v>
      </c>
      <c r="K58" s="32" t="s">
        <v>166</v>
      </c>
      <c r="L58" s="32">
        <v>1</v>
      </c>
      <c r="M58" s="92" t="s">
        <v>155</v>
      </c>
      <c r="N58" s="5" t="s">
        <v>906</v>
      </c>
      <c r="O58" s="74" t="s">
        <v>906</v>
      </c>
      <c r="P58" s="232" t="s">
        <v>918</v>
      </c>
      <c r="Q58" s="232" t="s">
        <v>918</v>
      </c>
      <c r="R58" s="308" t="s">
        <v>827</v>
      </c>
      <c r="S58" s="309" t="s">
        <v>828</v>
      </c>
      <c r="T58" s="5" t="s">
        <v>829</v>
      </c>
      <c r="U58" s="5" t="s">
        <v>829</v>
      </c>
      <c r="V58" s="74" t="s">
        <v>830</v>
      </c>
      <c r="W58" s="167" t="s">
        <v>831</v>
      </c>
      <c r="X58" s="167" t="s">
        <v>831</v>
      </c>
      <c r="Y58" s="5" t="s">
        <v>832</v>
      </c>
      <c r="Z58" s="5" t="s">
        <v>832</v>
      </c>
    </row>
    <row r="59" spans="1:26" ht="24">
      <c r="A59" s="164">
        <v>58</v>
      </c>
      <c r="B59" s="70"/>
      <c r="C59" s="70"/>
      <c r="D59" s="32">
        <v>728</v>
      </c>
      <c r="E59" s="32" t="s">
        <v>150</v>
      </c>
      <c r="F59" s="71" t="s">
        <v>406</v>
      </c>
      <c r="G59" s="51" t="s">
        <v>407</v>
      </c>
      <c r="H59" s="51" t="s">
        <v>408</v>
      </c>
      <c r="I59" s="74"/>
      <c r="J59" s="72"/>
      <c r="K59" s="32" t="s">
        <v>166</v>
      </c>
      <c r="L59" s="32">
        <v>0</v>
      </c>
      <c r="M59" s="92" t="s">
        <v>155</v>
      </c>
      <c r="N59" s="216" t="s">
        <v>165</v>
      </c>
      <c r="O59" s="216" t="s">
        <v>165</v>
      </c>
      <c r="P59" s="347" t="s">
        <v>165</v>
      </c>
      <c r="Q59" s="347" t="s">
        <v>165</v>
      </c>
      <c r="R59" s="320" t="s">
        <v>165</v>
      </c>
      <c r="S59" s="321" t="s">
        <v>165</v>
      </c>
      <c r="T59" s="5" t="s">
        <v>663</v>
      </c>
      <c r="U59" s="5" t="s">
        <v>663</v>
      </c>
      <c r="V59" s="5" t="s">
        <v>148</v>
      </c>
      <c r="W59" s="157" t="s">
        <v>670</v>
      </c>
      <c r="X59" s="167" t="s">
        <v>670</v>
      </c>
      <c r="Y59" s="5" t="s">
        <v>663</v>
      </c>
      <c r="Z59" s="5" t="s">
        <v>663</v>
      </c>
    </row>
    <row r="60" spans="1:26" ht="180" customHeight="1">
      <c r="A60" s="164">
        <v>59</v>
      </c>
      <c r="B60" s="70"/>
      <c r="C60" s="70"/>
      <c r="D60" s="32">
        <v>737</v>
      </c>
      <c r="E60" s="32" t="s">
        <v>150</v>
      </c>
      <c r="F60" s="71" t="s">
        <v>409</v>
      </c>
      <c r="G60" s="51" t="s">
        <v>410</v>
      </c>
      <c r="H60" s="51" t="s">
        <v>411</v>
      </c>
      <c r="I60" s="74"/>
      <c r="J60" s="5" t="s">
        <v>413</v>
      </c>
      <c r="K60" s="32" t="s">
        <v>166</v>
      </c>
      <c r="L60" s="32">
        <v>1</v>
      </c>
      <c r="M60" s="92" t="s">
        <v>155</v>
      </c>
      <c r="N60" s="332" t="s">
        <v>917</v>
      </c>
      <c r="O60" s="332" t="s">
        <v>917</v>
      </c>
      <c r="P60" s="232" t="s">
        <v>833</v>
      </c>
      <c r="Q60" s="232" t="s">
        <v>833</v>
      </c>
      <c r="R60" s="308" t="s">
        <v>833</v>
      </c>
      <c r="S60" s="309" t="s">
        <v>833</v>
      </c>
      <c r="T60" s="74" t="s">
        <v>414</v>
      </c>
      <c r="U60" s="74" t="s">
        <v>414</v>
      </c>
      <c r="V60" s="74" t="s">
        <v>834</v>
      </c>
      <c r="W60" s="157" t="s">
        <v>835</v>
      </c>
      <c r="X60" s="173" t="s">
        <v>835</v>
      </c>
      <c r="Y60" s="5" t="s">
        <v>414</v>
      </c>
      <c r="Z60" s="5" t="s">
        <v>414</v>
      </c>
    </row>
    <row r="61" spans="1:26" ht="225.75" customHeight="1">
      <c r="A61" s="164">
        <v>60</v>
      </c>
      <c r="B61" s="70"/>
      <c r="C61" s="70"/>
      <c r="D61" s="32">
        <v>746</v>
      </c>
      <c r="E61" s="32" t="s">
        <v>27</v>
      </c>
      <c r="F61" s="71" t="s">
        <v>415</v>
      </c>
      <c r="G61" s="51" t="s">
        <v>416</v>
      </c>
      <c r="H61" s="51" t="s">
        <v>836</v>
      </c>
      <c r="I61" s="74"/>
      <c r="J61" s="72"/>
      <c r="K61" s="32" t="s">
        <v>52</v>
      </c>
      <c r="L61" s="32">
        <v>1</v>
      </c>
      <c r="M61" s="92" t="s">
        <v>155</v>
      </c>
      <c r="N61" s="74" t="s">
        <v>418</v>
      </c>
      <c r="O61" s="74" t="s">
        <v>418</v>
      </c>
      <c r="P61" s="232" t="s">
        <v>418</v>
      </c>
      <c r="Q61" s="232" t="s">
        <v>418</v>
      </c>
      <c r="R61" s="308" t="s">
        <v>418</v>
      </c>
      <c r="S61" s="309" t="s">
        <v>418</v>
      </c>
      <c r="T61" s="5" t="s">
        <v>173</v>
      </c>
      <c r="U61" s="5" t="s">
        <v>173</v>
      </c>
      <c r="V61" s="74" t="s">
        <v>837</v>
      </c>
      <c r="W61" s="157" t="s">
        <v>670</v>
      </c>
      <c r="X61" s="167" t="s">
        <v>670</v>
      </c>
      <c r="Y61" s="5" t="s">
        <v>838</v>
      </c>
      <c r="Z61" s="5" t="s">
        <v>838</v>
      </c>
    </row>
    <row r="62" spans="1:26" ht="156">
      <c r="A62" s="164">
        <v>61</v>
      </c>
      <c r="B62" s="70"/>
      <c r="C62" s="70"/>
      <c r="D62" s="32">
        <v>747</v>
      </c>
      <c r="E62" s="32">
        <v>9</v>
      </c>
      <c r="F62" s="71" t="s">
        <v>420</v>
      </c>
      <c r="G62" s="51" t="s">
        <v>421</v>
      </c>
      <c r="H62" s="51" t="s">
        <v>839</v>
      </c>
      <c r="I62" s="74"/>
      <c r="J62" s="5" t="s">
        <v>840</v>
      </c>
      <c r="K62" s="32" t="s">
        <v>52</v>
      </c>
      <c r="L62" s="32">
        <v>1</v>
      </c>
      <c r="M62" s="92" t="s">
        <v>155</v>
      </c>
      <c r="N62" s="5" t="s">
        <v>165</v>
      </c>
      <c r="O62" s="5" t="s">
        <v>165</v>
      </c>
      <c r="P62" s="176" t="s">
        <v>165</v>
      </c>
      <c r="Q62" s="176" t="s">
        <v>165</v>
      </c>
      <c r="R62" s="320" t="s">
        <v>165</v>
      </c>
      <c r="S62" s="321" t="s">
        <v>165</v>
      </c>
      <c r="T62" s="5" t="s">
        <v>148</v>
      </c>
      <c r="U62" s="5" t="s">
        <v>148</v>
      </c>
      <c r="V62" s="5" t="s">
        <v>841</v>
      </c>
      <c r="W62" s="157" t="s">
        <v>842</v>
      </c>
      <c r="X62" s="173" t="s">
        <v>842</v>
      </c>
      <c r="Y62" s="5" t="s">
        <v>843</v>
      </c>
      <c r="Z62" s="5" t="s">
        <v>844</v>
      </c>
    </row>
    <row r="63" spans="1:26" ht="202.5" customHeight="1">
      <c r="A63" s="164">
        <v>62</v>
      </c>
      <c r="B63" s="70"/>
      <c r="C63" s="70"/>
      <c r="D63" s="32">
        <v>748</v>
      </c>
      <c r="E63" s="32" t="s">
        <v>27</v>
      </c>
      <c r="F63" s="71" t="s">
        <v>425</v>
      </c>
      <c r="G63" s="51" t="s">
        <v>426</v>
      </c>
      <c r="H63" s="51" t="s">
        <v>845</v>
      </c>
      <c r="I63" s="74"/>
      <c r="J63" s="51"/>
      <c r="K63" s="32" t="s">
        <v>166</v>
      </c>
      <c r="L63" s="32">
        <v>0</v>
      </c>
      <c r="M63" s="92" t="s">
        <v>301</v>
      </c>
      <c r="N63" s="216" t="s">
        <v>165</v>
      </c>
      <c r="O63" s="216" t="s">
        <v>165</v>
      </c>
      <c r="P63" s="347" t="s">
        <v>165</v>
      </c>
      <c r="Q63" s="347" t="s">
        <v>165</v>
      </c>
      <c r="R63" s="320" t="s">
        <v>165</v>
      </c>
      <c r="S63" s="321" t="s">
        <v>165</v>
      </c>
      <c r="T63" s="162" t="s">
        <v>663</v>
      </c>
      <c r="U63" s="5" t="s">
        <v>663</v>
      </c>
      <c r="V63" s="162" t="s">
        <v>148</v>
      </c>
      <c r="W63" s="158" t="s">
        <v>670</v>
      </c>
      <c r="X63" s="167" t="s">
        <v>670</v>
      </c>
      <c r="Y63" s="162" t="s">
        <v>663</v>
      </c>
      <c r="Z63" s="5" t="s">
        <v>663</v>
      </c>
    </row>
    <row r="64" spans="1:26" ht="12.75" customHeight="1">
      <c r="A64" s="164">
        <v>63</v>
      </c>
      <c r="B64" s="104"/>
      <c r="C64" s="104"/>
      <c r="D64" s="107">
        <v>749</v>
      </c>
      <c r="E64" s="107" t="s">
        <v>428</v>
      </c>
      <c r="F64" s="97"/>
      <c r="G64" s="109" t="s">
        <v>429</v>
      </c>
      <c r="H64" s="109"/>
      <c r="I64" s="103"/>
      <c r="J64" s="98"/>
      <c r="K64" s="107"/>
      <c r="L64" s="107">
        <v>0</v>
      </c>
      <c r="M64" s="102"/>
      <c r="N64" s="5" t="s">
        <v>916</v>
      </c>
      <c r="O64" s="5" t="s">
        <v>916</v>
      </c>
      <c r="P64" s="354"/>
      <c r="Q64" s="353"/>
      <c r="R64" s="325" t="s">
        <v>793</v>
      </c>
      <c r="S64" s="326" t="s">
        <v>793</v>
      </c>
      <c r="T64" s="98"/>
      <c r="U64" s="121"/>
      <c r="V64" s="98"/>
      <c r="W64" s="103"/>
      <c r="X64" s="103"/>
      <c r="Y64" s="116"/>
      <c r="Z64" s="210"/>
    </row>
    <row r="65" spans="1:26" ht="36">
      <c r="A65" s="164">
        <v>64</v>
      </c>
      <c r="B65" s="75"/>
      <c r="C65" s="75"/>
      <c r="D65" s="32">
        <v>749</v>
      </c>
      <c r="E65" s="32" t="s">
        <v>430</v>
      </c>
      <c r="F65" s="71"/>
      <c r="G65" s="51" t="s">
        <v>431</v>
      </c>
      <c r="H65" s="51" t="s">
        <v>432</v>
      </c>
      <c r="I65" s="74"/>
      <c r="J65" s="5" t="s">
        <v>846</v>
      </c>
      <c r="K65" s="32" t="s">
        <v>166</v>
      </c>
      <c r="L65" s="32">
        <v>1</v>
      </c>
      <c r="M65" s="92" t="s">
        <v>155</v>
      </c>
      <c r="N65" s="216" t="s">
        <v>165</v>
      </c>
      <c r="O65" s="216" t="s">
        <v>165</v>
      </c>
      <c r="P65" s="352" t="s">
        <v>165</v>
      </c>
      <c r="Q65" s="352" t="s">
        <v>165</v>
      </c>
      <c r="R65" s="320" t="s">
        <v>165</v>
      </c>
      <c r="S65" s="321" t="s">
        <v>165</v>
      </c>
      <c r="T65" s="5" t="s">
        <v>663</v>
      </c>
      <c r="U65" s="5" t="s">
        <v>663</v>
      </c>
      <c r="V65" s="5" t="s">
        <v>148</v>
      </c>
      <c r="W65" s="5" t="s">
        <v>847</v>
      </c>
      <c r="X65" s="74" t="s">
        <v>847</v>
      </c>
      <c r="Y65" s="5" t="s">
        <v>848</v>
      </c>
      <c r="Z65" s="5" t="s">
        <v>848</v>
      </c>
    </row>
    <row r="66" spans="1:26" ht="36">
      <c r="A66" s="164">
        <v>65</v>
      </c>
      <c r="B66" s="75"/>
      <c r="C66" s="75"/>
      <c r="D66" s="82">
        <v>752</v>
      </c>
      <c r="E66" s="82" t="s">
        <v>282</v>
      </c>
      <c r="F66" s="71"/>
      <c r="G66" s="51" t="s">
        <v>434</v>
      </c>
      <c r="H66" s="51" t="s">
        <v>435</v>
      </c>
      <c r="I66" s="74"/>
      <c r="J66" s="5" t="s">
        <v>846</v>
      </c>
      <c r="K66" s="32" t="s">
        <v>166</v>
      </c>
      <c r="L66" s="32">
        <v>1</v>
      </c>
      <c r="M66" s="92" t="s">
        <v>155</v>
      </c>
      <c r="N66" s="216" t="s">
        <v>165</v>
      </c>
      <c r="O66" s="216" t="s">
        <v>165</v>
      </c>
      <c r="P66" s="352" t="s">
        <v>165</v>
      </c>
      <c r="Q66" s="352" t="s">
        <v>165</v>
      </c>
      <c r="R66" s="320" t="s">
        <v>165</v>
      </c>
      <c r="S66" s="321" t="s">
        <v>165</v>
      </c>
      <c r="T66" s="5" t="s">
        <v>663</v>
      </c>
      <c r="U66" s="5" t="s">
        <v>663</v>
      </c>
      <c r="V66" s="212" t="s">
        <v>148</v>
      </c>
      <c r="W66" s="5" t="s">
        <v>847</v>
      </c>
      <c r="X66" s="5" t="s">
        <v>847</v>
      </c>
      <c r="Y66" s="5" t="s">
        <v>849</v>
      </c>
      <c r="Z66" s="5" t="s">
        <v>849</v>
      </c>
    </row>
    <row r="67" spans="1:26" ht="120">
      <c r="A67" s="164">
        <v>66</v>
      </c>
      <c r="B67" s="70"/>
      <c r="C67" s="70"/>
      <c r="D67" s="32">
        <v>761</v>
      </c>
      <c r="E67" s="32" t="s">
        <v>27</v>
      </c>
      <c r="F67" s="71" t="s">
        <v>437</v>
      </c>
      <c r="G67" s="51" t="s">
        <v>438</v>
      </c>
      <c r="H67" s="51" t="s">
        <v>850</v>
      </c>
      <c r="I67" s="74"/>
      <c r="J67" s="72"/>
      <c r="K67" s="32" t="s">
        <v>166</v>
      </c>
      <c r="L67" s="32">
        <v>0</v>
      </c>
      <c r="M67" s="92" t="s">
        <v>301</v>
      </c>
      <c r="N67" s="216" t="s">
        <v>165</v>
      </c>
      <c r="O67" s="216" t="s">
        <v>165</v>
      </c>
      <c r="P67" s="347" t="s">
        <v>165</v>
      </c>
      <c r="Q67" s="347" t="s">
        <v>165</v>
      </c>
      <c r="R67" s="320" t="s">
        <v>165</v>
      </c>
      <c r="S67" s="321" t="s">
        <v>165</v>
      </c>
      <c r="T67" s="162" t="s">
        <v>663</v>
      </c>
      <c r="U67" s="5" t="s">
        <v>663</v>
      </c>
      <c r="V67" s="162" t="s">
        <v>148</v>
      </c>
      <c r="W67" s="5" t="s">
        <v>670</v>
      </c>
      <c r="X67" s="5" t="s">
        <v>670</v>
      </c>
      <c r="Y67" s="162" t="s">
        <v>663</v>
      </c>
      <c r="Z67" s="5" t="s">
        <v>663</v>
      </c>
    </row>
    <row r="68" spans="1:26" ht="24">
      <c r="A68" s="164">
        <v>67</v>
      </c>
      <c r="B68" s="75"/>
      <c r="C68" s="75"/>
      <c r="D68" s="82">
        <v>762</v>
      </c>
      <c r="E68" s="82" t="s">
        <v>440</v>
      </c>
      <c r="F68" s="71" t="s">
        <v>441</v>
      </c>
      <c r="G68" s="51" t="s">
        <v>442</v>
      </c>
      <c r="H68" s="51" t="s">
        <v>443</v>
      </c>
      <c r="I68" s="74"/>
      <c r="J68" s="5"/>
      <c r="K68" s="32" t="s">
        <v>166</v>
      </c>
      <c r="L68" s="32">
        <v>0</v>
      </c>
      <c r="M68" s="92" t="s">
        <v>155</v>
      </c>
      <c r="N68" s="216" t="s">
        <v>165</v>
      </c>
      <c r="O68" s="216" t="s">
        <v>165</v>
      </c>
      <c r="P68" s="347" t="s">
        <v>165</v>
      </c>
      <c r="Q68" s="347" t="s">
        <v>165</v>
      </c>
      <c r="R68" s="320" t="s">
        <v>165</v>
      </c>
      <c r="S68" s="321" t="s">
        <v>165</v>
      </c>
      <c r="T68" s="5" t="s">
        <v>663</v>
      </c>
      <c r="U68" s="5" t="s">
        <v>663</v>
      </c>
      <c r="V68" s="5" t="s">
        <v>148</v>
      </c>
      <c r="W68" s="5"/>
      <c r="X68" s="5"/>
      <c r="Y68" s="5" t="s">
        <v>663</v>
      </c>
      <c r="Z68" s="5" t="s">
        <v>663</v>
      </c>
    </row>
    <row r="69" spans="1:26" ht="48">
      <c r="A69" s="164">
        <v>68</v>
      </c>
      <c r="B69" s="75"/>
      <c r="C69" s="75"/>
      <c r="D69" s="82">
        <v>777</v>
      </c>
      <c r="E69" s="82" t="s">
        <v>444</v>
      </c>
      <c r="F69" s="71" t="s">
        <v>445</v>
      </c>
      <c r="G69" s="51" t="s">
        <v>446</v>
      </c>
      <c r="H69" s="51" t="s">
        <v>447</v>
      </c>
      <c r="I69" s="74"/>
      <c r="J69" s="5" t="s">
        <v>448</v>
      </c>
      <c r="K69" s="32"/>
      <c r="L69" s="32">
        <v>0</v>
      </c>
      <c r="M69" s="92" t="s">
        <v>155</v>
      </c>
      <c r="N69" s="216" t="s">
        <v>165</v>
      </c>
      <c r="O69" s="216" t="s">
        <v>165</v>
      </c>
      <c r="P69" s="347" t="s">
        <v>165</v>
      </c>
      <c r="Q69" s="347" t="s">
        <v>165</v>
      </c>
      <c r="R69" s="320" t="s">
        <v>165</v>
      </c>
      <c r="S69" s="321" t="s">
        <v>165</v>
      </c>
      <c r="T69" s="5" t="s">
        <v>663</v>
      </c>
      <c r="U69" s="5" t="s">
        <v>663</v>
      </c>
      <c r="V69" s="5" t="s">
        <v>148</v>
      </c>
      <c r="W69" s="5"/>
      <c r="X69" s="74"/>
      <c r="Y69" s="5" t="s">
        <v>663</v>
      </c>
      <c r="Z69" s="5" t="s">
        <v>663</v>
      </c>
    </row>
    <row r="70" spans="1:26" ht="24">
      <c r="A70" s="164">
        <v>69</v>
      </c>
      <c r="B70" s="105"/>
      <c r="C70" s="105"/>
      <c r="D70" s="107">
        <v>781</v>
      </c>
      <c r="E70" s="107" t="s">
        <v>27</v>
      </c>
      <c r="F70" s="97"/>
      <c r="G70" s="110" t="s">
        <v>449</v>
      </c>
      <c r="H70" s="110" t="s">
        <v>164</v>
      </c>
      <c r="I70" s="103"/>
      <c r="J70" s="98"/>
      <c r="K70" s="153" t="s">
        <v>166</v>
      </c>
      <c r="L70" s="153">
        <v>0</v>
      </c>
      <c r="M70" s="102"/>
      <c r="N70" s="116" t="s">
        <v>247</v>
      </c>
      <c r="O70" s="116" t="s">
        <v>165</v>
      </c>
      <c r="P70" s="346" t="s">
        <v>165</v>
      </c>
      <c r="Q70" s="346" t="s">
        <v>165</v>
      </c>
      <c r="R70" s="318" t="s">
        <v>165</v>
      </c>
      <c r="S70" s="319" t="s">
        <v>165</v>
      </c>
      <c r="T70" s="116" t="s">
        <v>663</v>
      </c>
      <c r="U70" s="116" t="s">
        <v>663</v>
      </c>
      <c r="V70" s="116" t="s">
        <v>148</v>
      </c>
      <c r="W70" s="116"/>
      <c r="X70" s="103"/>
      <c r="Y70" s="116" t="s">
        <v>663</v>
      </c>
      <c r="Z70" s="116" t="s">
        <v>663</v>
      </c>
    </row>
    <row r="71" spans="1:26" ht="24">
      <c r="A71" s="164">
        <v>70</v>
      </c>
      <c r="B71" s="105"/>
      <c r="C71" s="105"/>
      <c r="D71" s="107">
        <v>782</v>
      </c>
      <c r="E71" s="107" t="s">
        <v>27</v>
      </c>
      <c r="F71" s="97"/>
      <c r="G71" s="110" t="s">
        <v>450</v>
      </c>
      <c r="H71" s="110" t="s">
        <v>164</v>
      </c>
      <c r="I71" s="103"/>
      <c r="J71" s="98"/>
      <c r="K71" s="153" t="s">
        <v>166</v>
      </c>
      <c r="L71" s="153">
        <v>0</v>
      </c>
      <c r="M71" s="102"/>
      <c r="N71" s="116" t="s">
        <v>247</v>
      </c>
      <c r="O71" s="116" t="s">
        <v>165</v>
      </c>
      <c r="P71" s="346" t="s">
        <v>165</v>
      </c>
      <c r="Q71" s="346" t="s">
        <v>165</v>
      </c>
      <c r="R71" s="318" t="s">
        <v>165</v>
      </c>
      <c r="S71" s="319" t="s">
        <v>165</v>
      </c>
      <c r="T71" s="116" t="s">
        <v>663</v>
      </c>
      <c r="U71" s="116" t="s">
        <v>663</v>
      </c>
      <c r="V71" s="116" t="s">
        <v>148</v>
      </c>
      <c r="W71" s="116"/>
      <c r="X71" s="103"/>
      <c r="Y71" s="116" t="s">
        <v>663</v>
      </c>
      <c r="Z71" s="116" t="s">
        <v>663</v>
      </c>
    </row>
    <row r="72" spans="1:26" ht="120">
      <c r="A72" s="164">
        <v>71</v>
      </c>
      <c r="B72" s="105"/>
      <c r="C72" s="105"/>
      <c r="D72" s="107">
        <v>783</v>
      </c>
      <c r="E72" s="107" t="s">
        <v>265</v>
      </c>
      <c r="F72" s="97"/>
      <c r="G72" s="109" t="s">
        <v>451</v>
      </c>
      <c r="H72" s="117" t="s">
        <v>452</v>
      </c>
      <c r="I72" s="99"/>
      <c r="J72" s="105"/>
      <c r="K72" s="96" t="s">
        <v>166</v>
      </c>
      <c r="L72" s="107">
        <v>0</v>
      </c>
      <c r="M72" s="114"/>
      <c r="N72" s="129" t="s">
        <v>165</v>
      </c>
      <c r="O72" s="129" t="s">
        <v>165</v>
      </c>
      <c r="P72" s="351" t="s">
        <v>165</v>
      </c>
      <c r="Q72" s="351" t="s">
        <v>165</v>
      </c>
      <c r="R72" s="327" t="s">
        <v>165</v>
      </c>
      <c r="S72" s="328" t="s">
        <v>165</v>
      </c>
      <c r="T72" s="129" t="s">
        <v>148</v>
      </c>
      <c r="U72" s="129" t="s">
        <v>148</v>
      </c>
      <c r="V72" s="129" t="s">
        <v>148</v>
      </c>
      <c r="W72" s="129" t="s">
        <v>670</v>
      </c>
      <c r="X72" s="129" t="s">
        <v>670</v>
      </c>
      <c r="Y72" s="211" t="s">
        <v>148</v>
      </c>
      <c r="Z72" s="211" t="s">
        <v>148</v>
      </c>
    </row>
    <row r="73" spans="1:26" ht="120">
      <c r="A73" s="164">
        <v>72</v>
      </c>
      <c r="B73" s="105"/>
      <c r="C73" s="105"/>
      <c r="D73" s="107">
        <v>807</v>
      </c>
      <c r="E73" s="107" t="s">
        <v>265</v>
      </c>
      <c r="F73" s="97"/>
      <c r="G73" s="109" t="s">
        <v>453</v>
      </c>
      <c r="H73" s="117" t="s">
        <v>452</v>
      </c>
      <c r="I73" s="99"/>
      <c r="J73" s="105"/>
      <c r="K73" s="96" t="s">
        <v>166</v>
      </c>
      <c r="L73" s="107">
        <v>0</v>
      </c>
      <c r="M73" s="114"/>
      <c r="N73" s="129" t="s">
        <v>165</v>
      </c>
      <c r="O73" s="129" t="s">
        <v>165</v>
      </c>
      <c r="P73" s="351" t="s">
        <v>165</v>
      </c>
      <c r="Q73" s="351" t="s">
        <v>165</v>
      </c>
      <c r="R73" s="327" t="s">
        <v>165</v>
      </c>
      <c r="S73" s="328" t="s">
        <v>165</v>
      </c>
      <c r="T73" s="129" t="s">
        <v>148</v>
      </c>
      <c r="U73" s="129" t="s">
        <v>148</v>
      </c>
      <c r="V73" s="129" t="s">
        <v>148</v>
      </c>
      <c r="W73" s="129"/>
      <c r="X73" s="104"/>
      <c r="Y73" s="211" t="s">
        <v>148</v>
      </c>
      <c r="Z73" s="211" t="s">
        <v>148</v>
      </c>
    </row>
    <row r="74" spans="1:26" ht="24">
      <c r="A74" s="164">
        <v>73</v>
      </c>
      <c r="B74" s="105"/>
      <c r="C74" s="105"/>
      <c r="D74" s="107">
        <v>831</v>
      </c>
      <c r="E74" s="107" t="s">
        <v>454</v>
      </c>
      <c r="F74" s="97"/>
      <c r="G74" s="144" t="s">
        <v>455</v>
      </c>
      <c r="H74" s="109" t="s">
        <v>456</v>
      </c>
      <c r="I74" s="103"/>
      <c r="J74" s="98"/>
      <c r="K74" s="107" t="s">
        <v>58</v>
      </c>
      <c r="L74" s="107">
        <v>0</v>
      </c>
      <c r="M74" s="102"/>
      <c r="N74" s="116" t="s">
        <v>457</v>
      </c>
      <c r="O74" s="116" t="s">
        <v>290</v>
      </c>
      <c r="P74" s="346" t="s">
        <v>290</v>
      </c>
      <c r="Q74" s="346" t="s">
        <v>290</v>
      </c>
      <c r="R74" s="320" t="s">
        <v>290</v>
      </c>
      <c r="S74" s="321" t="s">
        <v>290</v>
      </c>
      <c r="T74" s="116" t="s">
        <v>851</v>
      </c>
      <c r="U74" s="116" t="s">
        <v>851</v>
      </c>
      <c r="V74" s="116" t="s">
        <v>852</v>
      </c>
      <c r="W74" s="116"/>
      <c r="X74" s="103"/>
      <c r="Y74" s="116" t="s">
        <v>852</v>
      </c>
      <c r="Z74" s="116" t="s">
        <v>852</v>
      </c>
    </row>
    <row r="75" spans="1:26" ht="48">
      <c r="A75" s="164">
        <v>74</v>
      </c>
      <c r="B75" s="105"/>
      <c r="C75" s="105"/>
      <c r="D75" s="107">
        <v>839</v>
      </c>
      <c r="E75" s="107" t="s">
        <v>454</v>
      </c>
      <c r="F75" s="97"/>
      <c r="G75" s="144" t="s">
        <v>459</v>
      </c>
      <c r="H75" s="109" t="s">
        <v>460</v>
      </c>
      <c r="I75" s="103"/>
      <c r="J75" s="98"/>
      <c r="K75" s="107" t="s">
        <v>58</v>
      </c>
      <c r="L75" s="107">
        <v>0</v>
      </c>
      <c r="M75" s="102"/>
      <c r="N75" s="116" t="s">
        <v>290</v>
      </c>
      <c r="O75" s="116" t="s">
        <v>290</v>
      </c>
      <c r="P75" s="346" t="s">
        <v>290</v>
      </c>
      <c r="Q75" s="346" t="s">
        <v>290</v>
      </c>
      <c r="R75" s="320" t="s">
        <v>290</v>
      </c>
      <c r="S75" s="321" t="s">
        <v>290</v>
      </c>
      <c r="T75" s="116" t="s">
        <v>851</v>
      </c>
      <c r="U75" s="116" t="s">
        <v>851</v>
      </c>
      <c r="V75" s="116" t="s">
        <v>853</v>
      </c>
      <c r="W75" s="116"/>
      <c r="X75" s="103"/>
      <c r="Y75" s="116" t="s">
        <v>853</v>
      </c>
      <c r="Z75" s="116" t="s">
        <v>853</v>
      </c>
    </row>
    <row r="76" spans="1:26" ht="240">
      <c r="A76" s="164">
        <v>75</v>
      </c>
      <c r="B76" s="70"/>
      <c r="C76" s="70"/>
      <c r="D76" s="32">
        <v>847</v>
      </c>
      <c r="E76" s="32" t="s">
        <v>461</v>
      </c>
      <c r="F76" s="71" t="s">
        <v>462</v>
      </c>
      <c r="G76" s="51" t="s">
        <v>463</v>
      </c>
      <c r="H76" s="51" t="s">
        <v>854</v>
      </c>
      <c r="I76" s="51"/>
      <c r="J76" s="74" t="s">
        <v>855</v>
      </c>
      <c r="K76" s="32" t="s">
        <v>166</v>
      </c>
      <c r="L76" s="32">
        <v>1</v>
      </c>
      <c r="M76" s="92" t="s">
        <v>155</v>
      </c>
      <c r="N76" s="316" t="s">
        <v>856</v>
      </c>
      <c r="O76" s="317" t="s">
        <v>857</v>
      </c>
      <c r="P76" s="316" t="s">
        <v>915</v>
      </c>
      <c r="Q76" s="317" t="s">
        <v>914</v>
      </c>
      <c r="R76" s="316" t="s">
        <v>856</v>
      </c>
      <c r="S76" s="317" t="s">
        <v>857</v>
      </c>
      <c r="T76" s="5" t="s">
        <v>858</v>
      </c>
      <c r="U76" s="5" t="s">
        <v>859</v>
      </c>
      <c r="V76" s="74" t="s">
        <v>860</v>
      </c>
      <c r="W76" s="157" t="s">
        <v>670</v>
      </c>
      <c r="X76" s="167" t="s">
        <v>861</v>
      </c>
      <c r="Y76" s="5" t="s">
        <v>862</v>
      </c>
      <c r="Z76" s="5" t="s">
        <v>862</v>
      </c>
    </row>
    <row r="77" spans="1:26" ht="276">
      <c r="A77" s="164">
        <v>76</v>
      </c>
      <c r="B77" s="75"/>
      <c r="C77" s="75"/>
      <c r="D77" s="32">
        <v>848</v>
      </c>
      <c r="E77" s="32" t="s">
        <v>461</v>
      </c>
      <c r="F77" s="71" t="s">
        <v>469</v>
      </c>
      <c r="G77" s="51" t="s">
        <v>470</v>
      </c>
      <c r="H77" s="51" t="s">
        <v>471</v>
      </c>
      <c r="I77" s="74"/>
      <c r="J77" s="5" t="s">
        <v>863</v>
      </c>
      <c r="K77" s="32" t="s">
        <v>166</v>
      </c>
      <c r="L77" s="32">
        <v>1</v>
      </c>
      <c r="M77" s="92" t="s">
        <v>155</v>
      </c>
      <c r="N77" s="316" t="s">
        <v>864</v>
      </c>
      <c r="O77" s="317" t="s">
        <v>865</v>
      </c>
      <c r="P77" s="316" t="s">
        <v>864</v>
      </c>
      <c r="Q77" s="317" t="s">
        <v>865</v>
      </c>
      <c r="R77" s="316" t="s">
        <v>864</v>
      </c>
      <c r="S77" s="317" t="s">
        <v>865</v>
      </c>
      <c r="T77" s="5" t="s">
        <v>866</v>
      </c>
      <c r="U77" s="5" t="s">
        <v>867</v>
      </c>
      <c r="V77" s="74" t="s">
        <v>868</v>
      </c>
      <c r="W77" s="157" t="s">
        <v>869</v>
      </c>
      <c r="X77" s="167" t="s">
        <v>670</v>
      </c>
      <c r="Y77" s="5" t="s">
        <v>870</v>
      </c>
      <c r="Z77" s="5" t="s">
        <v>870</v>
      </c>
    </row>
    <row r="78" spans="1:26" ht="312">
      <c r="A78" s="164">
        <v>77</v>
      </c>
      <c r="B78" s="70"/>
      <c r="C78" s="70"/>
      <c r="D78" s="32">
        <v>849</v>
      </c>
      <c r="E78" s="32" t="s">
        <v>461</v>
      </c>
      <c r="F78" s="42" t="s">
        <v>871</v>
      </c>
      <c r="G78" s="51" t="s">
        <v>478</v>
      </c>
      <c r="H78" s="51" t="s">
        <v>872</v>
      </c>
      <c r="I78" s="74"/>
      <c r="J78" s="5" t="s">
        <v>873</v>
      </c>
      <c r="K78" s="32"/>
      <c r="L78" s="32">
        <v>1</v>
      </c>
      <c r="M78" s="92" t="s">
        <v>155</v>
      </c>
      <c r="N78" s="333" t="s">
        <v>907</v>
      </c>
      <c r="O78" s="334" t="s">
        <v>907</v>
      </c>
      <c r="P78" s="350" t="s">
        <v>913</v>
      </c>
      <c r="Q78" s="349" t="s">
        <v>913</v>
      </c>
      <c r="R78" s="329" t="s">
        <v>874</v>
      </c>
      <c r="S78" s="330" t="s">
        <v>875</v>
      </c>
      <c r="T78" s="118" t="s">
        <v>876</v>
      </c>
      <c r="U78" s="75" t="s">
        <v>173</v>
      </c>
      <c r="V78" s="5" t="s">
        <v>877</v>
      </c>
      <c r="W78" s="157" t="s">
        <v>878</v>
      </c>
      <c r="X78" s="167" t="s">
        <v>670</v>
      </c>
      <c r="Y78" s="5" t="s">
        <v>879</v>
      </c>
      <c r="Z78" s="5" t="s">
        <v>879</v>
      </c>
    </row>
    <row r="79" spans="1:26" ht="204">
      <c r="A79" s="164">
        <v>78</v>
      </c>
      <c r="B79" s="70"/>
      <c r="C79" s="70"/>
      <c r="D79" s="32">
        <v>850</v>
      </c>
      <c r="E79" s="32" t="s">
        <v>461</v>
      </c>
      <c r="F79" s="71" t="s">
        <v>483</v>
      </c>
      <c r="G79" s="51" t="s">
        <v>484</v>
      </c>
      <c r="H79" s="51" t="s">
        <v>880</v>
      </c>
      <c r="I79" s="74"/>
      <c r="J79" s="5" t="s">
        <v>881</v>
      </c>
      <c r="K79" s="84"/>
      <c r="L79" s="32">
        <v>0</v>
      </c>
      <c r="M79" s="92" t="s">
        <v>155</v>
      </c>
      <c r="N79" s="214" t="s">
        <v>165</v>
      </c>
      <c r="O79" s="214" t="s">
        <v>487</v>
      </c>
      <c r="P79" s="348" t="s">
        <v>165</v>
      </c>
      <c r="Q79" s="348" t="s">
        <v>487</v>
      </c>
      <c r="R79" s="314" t="s">
        <v>165</v>
      </c>
      <c r="S79" s="315" t="s">
        <v>487</v>
      </c>
      <c r="T79" s="74" t="s">
        <v>663</v>
      </c>
      <c r="U79" s="74" t="s">
        <v>663</v>
      </c>
      <c r="V79" s="74" t="s">
        <v>148</v>
      </c>
      <c r="W79" s="157" t="s">
        <v>670</v>
      </c>
      <c r="X79" s="167" t="s">
        <v>670</v>
      </c>
      <c r="Y79" s="5" t="s">
        <v>663</v>
      </c>
      <c r="Z79" s="5" t="s">
        <v>663</v>
      </c>
    </row>
    <row r="80" spans="1:26">
      <c r="A80" s="164">
        <v>79</v>
      </c>
      <c r="B80" s="105"/>
      <c r="C80" s="105"/>
      <c r="D80" s="107">
        <v>851</v>
      </c>
      <c r="E80" s="107" t="s">
        <v>27</v>
      </c>
      <c r="F80" s="97"/>
      <c r="G80" s="110" t="s">
        <v>488</v>
      </c>
      <c r="H80" s="109" t="s">
        <v>164</v>
      </c>
      <c r="I80" s="103"/>
      <c r="J80" s="116"/>
      <c r="K80" s="146"/>
      <c r="L80" s="153">
        <v>0</v>
      </c>
      <c r="M80" s="102"/>
      <c r="N80" s="215" t="s">
        <v>165</v>
      </c>
      <c r="O80" s="215" t="s">
        <v>165</v>
      </c>
      <c r="P80" s="345" t="s">
        <v>165</v>
      </c>
      <c r="Q80" s="345" t="s">
        <v>165</v>
      </c>
      <c r="R80" s="310" t="s">
        <v>165</v>
      </c>
      <c r="S80" s="311" t="s">
        <v>165</v>
      </c>
      <c r="T80" s="103" t="s">
        <v>663</v>
      </c>
      <c r="U80" s="103" t="s">
        <v>663</v>
      </c>
      <c r="V80" s="103" t="s">
        <v>148</v>
      </c>
      <c r="W80" s="103"/>
      <c r="X80" s="109"/>
      <c r="Y80" s="116" t="s">
        <v>663</v>
      </c>
      <c r="Z80" s="116" t="s">
        <v>663</v>
      </c>
    </row>
    <row r="81" spans="1:26" ht="126.75" customHeight="1">
      <c r="A81" s="164">
        <v>80</v>
      </c>
      <c r="B81" s="105"/>
      <c r="C81" s="105"/>
      <c r="D81" s="107">
        <v>852</v>
      </c>
      <c r="E81" s="107" t="s">
        <v>167</v>
      </c>
      <c r="F81" s="97"/>
      <c r="G81" s="109" t="s">
        <v>489</v>
      </c>
      <c r="H81" s="109" t="s">
        <v>490</v>
      </c>
      <c r="I81" s="99"/>
      <c r="J81" s="105"/>
      <c r="K81" s="103"/>
      <c r="L81" s="181">
        <v>0</v>
      </c>
      <c r="M81" s="114"/>
      <c r="N81" s="215" t="s">
        <v>165</v>
      </c>
      <c r="O81" s="215" t="s">
        <v>165</v>
      </c>
      <c r="P81" s="345" t="s">
        <v>165</v>
      </c>
      <c r="Q81" s="345" t="s">
        <v>165</v>
      </c>
      <c r="R81" s="310" t="s">
        <v>165</v>
      </c>
      <c r="S81" s="311" t="s">
        <v>165</v>
      </c>
      <c r="T81" s="103" t="s">
        <v>663</v>
      </c>
      <c r="U81" s="103" t="s">
        <v>663</v>
      </c>
      <c r="V81" s="103" t="s">
        <v>148</v>
      </c>
      <c r="W81" s="104" t="s">
        <v>670</v>
      </c>
      <c r="X81" s="104" t="s">
        <v>670</v>
      </c>
      <c r="Y81" s="116" t="s">
        <v>663</v>
      </c>
      <c r="Z81" s="116" t="s">
        <v>663</v>
      </c>
    </row>
    <row r="82" spans="1:26" ht="158.25" customHeight="1">
      <c r="A82" s="164">
        <v>81</v>
      </c>
      <c r="B82" s="104"/>
      <c r="C82" s="104"/>
      <c r="D82" s="107">
        <v>857</v>
      </c>
      <c r="E82" s="107" t="s">
        <v>491</v>
      </c>
      <c r="F82" s="97"/>
      <c r="G82" s="109" t="s">
        <v>492</v>
      </c>
      <c r="H82" s="109" t="s">
        <v>490</v>
      </c>
      <c r="I82" s="148"/>
      <c r="J82" s="105"/>
      <c r="K82" s="107" t="s">
        <v>2</v>
      </c>
      <c r="L82" s="107">
        <v>0</v>
      </c>
      <c r="M82" s="114"/>
      <c r="N82" s="215" t="s">
        <v>165</v>
      </c>
      <c r="O82" s="215" t="s">
        <v>165</v>
      </c>
      <c r="P82" s="345" t="s">
        <v>165</v>
      </c>
      <c r="Q82" s="345" t="s">
        <v>165</v>
      </c>
      <c r="R82" s="310" t="s">
        <v>165</v>
      </c>
      <c r="S82" s="311" t="s">
        <v>165</v>
      </c>
      <c r="T82" s="103" t="s">
        <v>663</v>
      </c>
      <c r="U82" s="103" t="s">
        <v>663</v>
      </c>
      <c r="V82" s="103" t="s">
        <v>148</v>
      </c>
      <c r="W82" s="104" t="s">
        <v>670</v>
      </c>
      <c r="X82" s="104" t="s">
        <v>670</v>
      </c>
      <c r="Y82" s="116" t="s">
        <v>663</v>
      </c>
      <c r="Z82" s="116" t="s">
        <v>663</v>
      </c>
    </row>
    <row r="83" spans="1:26" ht="158.25" customHeight="1">
      <c r="A83" s="164">
        <v>82</v>
      </c>
      <c r="B83" s="104"/>
      <c r="C83" s="104"/>
      <c r="D83" s="107">
        <v>869</v>
      </c>
      <c r="E83" s="107" t="s">
        <v>291</v>
      </c>
      <c r="F83" s="97"/>
      <c r="G83" s="110" t="s">
        <v>493</v>
      </c>
      <c r="H83" s="109" t="s">
        <v>164</v>
      </c>
      <c r="I83" s="148"/>
      <c r="J83" s="105"/>
      <c r="K83" s="107"/>
      <c r="L83" s="107">
        <v>0</v>
      </c>
      <c r="M83" s="114"/>
      <c r="N83" s="215" t="s">
        <v>165</v>
      </c>
      <c r="O83" s="215" t="s">
        <v>165</v>
      </c>
      <c r="P83" s="345" t="s">
        <v>165</v>
      </c>
      <c r="Q83" s="345" t="s">
        <v>165</v>
      </c>
      <c r="R83" s="310" t="s">
        <v>165</v>
      </c>
      <c r="S83" s="311" t="s">
        <v>165</v>
      </c>
      <c r="T83" s="129" t="s">
        <v>663</v>
      </c>
      <c r="U83" s="129" t="s">
        <v>663</v>
      </c>
      <c r="V83" s="129" t="s">
        <v>148</v>
      </c>
      <c r="W83" s="129"/>
      <c r="X83" s="104"/>
      <c r="Y83" s="211" t="s">
        <v>663</v>
      </c>
      <c r="Z83" s="211" t="s">
        <v>663</v>
      </c>
    </row>
    <row r="84" spans="1:26" ht="168">
      <c r="A84" s="164">
        <v>83</v>
      </c>
      <c r="B84" s="39" t="s">
        <v>2</v>
      </c>
      <c r="C84" s="39"/>
      <c r="D84" s="32">
        <v>873</v>
      </c>
      <c r="E84" s="32">
        <v>9</v>
      </c>
      <c r="F84" s="86"/>
      <c r="G84" s="51" t="s">
        <v>494</v>
      </c>
      <c r="H84" s="51" t="s">
        <v>495</v>
      </c>
      <c r="I84" s="51"/>
      <c r="J84" s="94"/>
      <c r="K84" s="32" t="s">
        <v>52</v>
      </c>
      <c r="L84" s="32">
        <v>1</v>
      </c>
      <c r="M84" s="90" t="s">
        <v>155</v>
      </c>
      <c r="N84" s="73" t="s">
        <v>496</v>
      </c>
      <c r="O84" s="73" t="s">
        <v>496</v>
      </c>
      <c r="P84" s="176" t="s">
        <v>496</v>
      </c>
      <c r="Q84" s="176" t="s">
        <v>496</v>
      </c>
      <c r="R84" s="316" t="s">
        <v>496</v>
      </c>
      <c r="S84" s="317" t="s">
        <v>496</v>
      </c>
      <c r="T84" s="73" t="s">
        <v>882</v>
      </c>
      <c r="U84" s="73" t="s">
        <v>882</v>
      </c>
      <c r="V84" s="73" t="s">
        <v>882</v>
      </c>
      <c r="W84" s="157" t="s">
        <v>883</v>
      </c>
      <c r="X84" s="167" t="s">
        <v>883</v>
      </c>
      <c r="Y84" s="73" t="s">
        <v>882</v>
      </c>
      <c r="Z84" s="73" t="s">
        <v>882</v>
      </c>
    </row>
    <row r="85" spans="1:26" ht="24">
      <c r="A85" s="164">
        <v>84</v>
      </c>
      <c r="B85" s="106"/>
      <c r="C85" s="106"/>
      <c r="D85" s="107">
        <v>874</v>
      </c>
      <c r="E85" s="107" t="s">
        <v>497</v>
      </c>
      <c r="F85" s="108"/>
      <c r="G85" s="109" t="s">
        <v>498</v>
      </c>
      <c r="H85" s="109" t="s">
        <v>499</v>
      </c>
      <c r="I85" s="109"/>
      <c r="J85" s="113"/>
      <c r="K85" s="107" t="s">
        <v>58</v>
      </c>
      <c r="L85" s="107">
        <v>0</v>
      </c>
      <c r="M85" s="112" t="s">
        <v>2</v>
      </c>
      <c r="N85" s="89" t="s">
        <v>179</v>
      </c>
      <c r="O85" s="89" t="s">
        <v>179</v>
      </c>
      <c r="P85" s="345" t="s">
        <v>179</v>
      </c>
      <c r="Q85" s="345" t="s">
        <v>179</v>
      </c>
      <c r="R85" s="310" t="s">
        <v>179</v>
      </c>
      <c r="S85" s="311" t="s">
        <v>179</v>
      </c>
      <c r="T85" s="89" t="s">
        <v>669</v>
      </c>
      <c r="U85" s="89" t="s">
        <v>669</v>
      </c>
      <c r="V85" s="89" t="s">
        <v>669</v>
      </c>
      <c r="W85" s="159" t="s">
        <v>884</v>
      </c>
      <c r="X85" s="168" t="s">
        <v>884</v>
      </c>
      <c r="Y85" s="207" t="s">
        <v>669</v>
      </c>
      <c r="Z85" s="207" t="s">
        <v>669</v>
      </c>
    </row>
    <row r="86" spans="1:26" ht="130.5" customHeight="1">
      <c r="A86" s="164">
        <v>85</v>
      </c>
      <c r="B86" s="105"/>
      <c r="C86" s="105"/>
      <c r="D86" s="107">
        <v>879</v>
      </c>
      <c r="E86" s="107" t="s">
        <v>150</v>
      </c>
      <c r="F86" s="97"/>
      <c r="G86" s="109" t="s">
        <v>500</v>
      </c>
      <c r="H86" s="109" t="s">
        <v>501</v>
      </c>
      <c r="I86" s="103"/>
      <c r="J86" s="98"/>
      <c r="K86" s="96" t="s">
        <v>2</v>
      </c>
      <c r="L86" s="107">
        <v>0</v>
      </c>
      <c r="M86" s="102"/>
      <c r="N86" s="103" t="s">
        <v>165</v>
      </c>
      <c r="O86" s="103" t="s">
        <v>165</v>
      </c>
      <c r="P86" s="345" t="s">
        <v>165</v>
      </c>
      <c r="Q86" s="345" t="s">
        <v>165</v>
      </c>
      <c r="R86" s="310" t="s">
        <v>165</v>
      </c>
      <c r="S86" s="311" t="s">
        <v>165</v>
      </c>
      <c r="T86" s="103" t="s">
        <v>148</v>
      </c>
      <c r="U86" s="103" t="s">
        <v>148</v>
      </c>
      <c r="V86" s="103" t="s">
        <v>148</v>
      </c>
      <c r="W86" s="103"/>
      <c r="X86" s="103"/>
      <c r="Y86" s="116" t="s">
        <v>148</v>
      </c>
      <c r="Z86" s="116" t="s">
        <v>148</v>
      </c>
    </row>
    <row r="87" spans="1:26" ht="77.25" customHeight="1">
      <c r="A87" s="164">
        <v>86</v>
      </c>
      <c r="B87" s="105"/>
      <c r="C87" s="105"/>
      <c r="D87" s="107">
        <v>888</v>
      </c>
      <c r="E87" s="107" t="s">
        <v>150</v>
      </c>
      <c r="F87" s="97"/>
      <c r="G87" s="109" t="s">
        <v>502</v>
      </c>
      <c r="H87" s="115" t="s">
        <v>885</v>
      </c>
      <c r="I87" s="103"/>
      <c r="J87" s="98"/>
      <c r="K87" s="96"/>
      <c r="L87" s="107">
        <v>0</v>
      </c>
      <c r="M87" s="102"/>
      <c r="N87" s="103" t="s">
        <v>165</v>
      </c>
      <c r="O87" s="103" t="s">
        <v>165</v>
      </c>
      <c r="P87" s="345" t="s">
        <v>165</v>
      </c>
      <c r="Q87" s="345" t="s">
        <v>165</v>
      </c>
      <c r="R87" s="310" t="s">
        <v>165</v>
      </c>
      <c r="S87" s="311" t="s">
        <v>165</v>
      </c>
      <c r="T87" s="103" t="s">
        <v>148</v>
      </c>
      <c r="U87" s="103" t="s">
        <v>148</v>
      </c>
      <c r="V87" s="103" t="s">
        <v>148</v>
      </c>
      <c r="W87" s="103" t="s">
        <v>670</v>
      </c>
      <c r="X87" s="103" t="s">
        <v>670</v>
      </c>
      <c r="Y87" s="116" t="s">
        <v>148</v>
      </c>
      <c r="Z87" s="116" t="s">
        <v>148</v>
      </c>
    </row>
    <row r="88" spans="1:26" ht="76.5" customHeight="1">
      <c r="A88" s="164">
        <v>87</v>
      </c>
      <c r="B88" s="105"/>
      <c r="C88" s="105"/>
      <c r="D88" s="107">
        <v>897</v>
      </c>
      <c r="E88" s="107" t="s">
        <v>27</v>
      </c>
      <c r="F88" s="97"/>
      <c r="G88" s="109" t="s">
        <v>504</v>
      </c>
      <c r="H88" s="109" t="s">
        <v>501</v>
      </c>
      <c r="I88" s="103"/>
      <c r="J88" s="98"/>
      <c r="K88" s="96" t="s">
        <v>2</v>
      </c>
      <c r="L88" s="107">
        <v>0</v>
      </c>
      <c r="M88" s="102"/>
      <c r="N88" s="116" t="s">
        <v>247</v>
      </c>
      <c r="O88" s="116" t="s">
        <v>165</v>
      </c>
      <c r="P88" s="346" t="s">
        <v>165</v>
      </c>
      <c r="Q88" s="346" t="s">
        <v>165</v>
      </c>
      <c r="R88" s="318" t="s">
        <v>165</v>
      </c>
      <c r="S88" s="319" t="s">
        <v>165</v>
      </c>
      <c r="T88" s="116" t="s">
        <v>663</v>
      </c>
      <c r="U88" s="116" t="s">
        <v>663</v>
      </c>
      <c r="V88" s="116" t="s">
        <v>148</v>
      </c>
      <c r="W88" s="103" t="s">
        <v>670</v>
      </c>
      <c r="X88" s="103" t="s">
        <v>670</v>
      </c>
      <c r="Y88" s="116" t="s">
        <v>663</v>
      </c>
      <c r="Z88" s="116" t="s">
        <v>663</v>
      </c>
    </row>
    <row r="89" spans="1:26" ht="168">
      <c r="A89" s="164">
        <v>88</v>
      </c>
      <c r="B89" s="39"/>
      <c r="C89" s="39"/>
      <c r="D89" s="32">
        <v>898</v>
      </c>
      <c r="E89" s="32" t="s">
        <v>175</v>
      </c>
      <c r="F89" s="85" t="s">
        <v>505</v>
      </c>
      <c r="G89" s="51" t="s">
        <v>506</v>
      </c>
      <c r="H89" s="51" t="s">
        <v>507</v>
      </c>
      <c r="I89" s="51"/>
      <c r="J89" s="95" t="s">
        <v>886</v>
      </c>
      <c r="K89" s="32" t="s">
        <v>166</v>
      </c>
      <c r="L89" s="32">
        <v>1</v>
      </c>
      <c r="M89" s="90" t="s">
        <v>155</v>
      </c>
      <c r="N89" s="217" t="s">
        <v>509</v>
      </c>
      <c r="O89" s="217" t="s">
        <v>509</v>
      </c>
      <c r="P89" s="348" t="s">
        <v>887</v>
      </c>
      <c r="Q89" s="348" t="s">
        <v>887</v>
      </c>
      <c r="R89" s="314" t="s">
        <v>887</v>
      </c>
      <c r="S89" s="315" t="s">
        <v>887</v>
      </c>
      <c r="T89" s="51" t="s">
        <v>509</v>
      </c>
      <c r="U89" s="51" t="s">
        <v>509</v>
      </c>
      <c r="V89" s="51" t="s">
        <v>509</v>
      </c>
      <c r="W89" s="160" t="s">
        <v>670</v>
      </c>
      <c r="X89" s="167" t="s">
        <v>670</v>
      </c>
      <c r="Y89" s="95" t="s">
        <v>509</v>
      </c>
      <c r="Z89" s="95" t="s">
        <v>509</v>
      </c>
    </row>
    <row r="90" spans="1:26" ht="38.25" customHeight="1">
      <c r="A90" s="164">
        <v>89</v>
      </c>
      <c r="B90" s="70"/>
      <c r="C90" s="70"/>
      <c r="D90" s="32">
        <v>900</v>
      </c>
      <c r="E90" s="32" t="s">
        <v>27</v>
      </c>
      <c r="F90" s="71" t="s">
        <v>510</v>
      </c>
      <c r="G90" s="51" t="s">
        <v>511</v>
      </c>
      <c r="H90" s="51" t="s">
        <v>512</v>
      </c>
      <c r="I90" s="74"/>
      <c r="J90" s="72"/>
      <c r="K90" s="84"/>
      <c r="L90" s="32">
        <v>0</v>
      </c>
      <c r="M90" s="92" t="s">
        <v>155</v>
      </c>
      <c r="N90" s="217" t="s">
        <v>513</v>
      </c>
      <c r="O90" s="217" t="s">
        <v>513</v>
      </c>
      <c r="P90" s="348" t="s">
        <v>887</v>
      </c>
      <c r="Q90" s="348" t="s">
        <v>887</v>
      </c>
      <c r="R90" s="314" t="s">
        <v>887</v>
      </c>
      <c r="S90" s="315" t="s">
        <v>887</v>
      </c>
      <c r="T90" s="74" t="s">
        <v>663</v>
      </c>
      <c r="U90" s="74" t="s">
        <v>663</v>
      </c>
      <c r="V90" s="74" t="s">
        <v>148</v>
      </c>
      <c r="W90" s="74" t="s">
        <v>670</v>
      </c>
      <c r="X90" s="74" t="s">
        <v>670</v>
      </c>
      <c r="Y90" s="5" t="s">
        <v>663</v>
      </c>
      <c r="Z90" s="5" t="s">
        <v>663</v>
      </c>
    </row>
    <row r="91" spans="1:26" ht="84">
      <c r="A91" s="164">
        <v>90</v>
      </c>
      <c r="B91" s="70"/>
      <c r="C91" s="70"/>
      <c r="D91" s="82">
        <v>901</v>
      </c>
      <c r="E91" s="151" t="s">
        <v>27</v>
      </c>
      <c r="F91" s="71" t="s">
        <v>514</v>
      </c>
      <c r="G91" s="14" t="s">
        <v>515</v>
      </c>
      <c r="H91" s="150" t="s">
        <v>888</v>
      </c>
      <c r="I91" s="74"/>
      <c r="J91" s="5"/>
      <c r="K91" s="70" t="s">
        <v>52</v>
      </c>
      <c r="L91" s="82">
        <v>1</v>
      </c>
      <c r="M91" s="92" t="s">
        <v>155</v>
      </c>
      <c r="N91" s="5" t="s">
        <v>517</v>
      </c>
      <c r="O91" s="5" t="s">
        <v>517</v>
      </c>
      <c r="P91" s="176" t="s">
        <v>517</v>
      </c>
      <c r="Q91" s="176" t="s">
        <v>517</v>
      </c>
      <c r="R91" s="316" t="s">
        <v>517</v>
      </c>
      <c r="S91" s="317" t="s">
        <v>517</v>
      </c>
      <c r="T91" s="5" t="s">
        <v>518</v>
      </c>
      <c r="U91" s="5" t="s">
        <v>518</v>
      </c>
      <c r="V91" s="5" t="s">
        <v>889</v>
      </c>
      <c r="W91" s="5" t="s">
        <v>890</v>
      </c>
      <c r="X91" s="5" t="s">
        <v>890</v>
      </c>
      <c r="Y91" s="5" t="s">
        <v>518</v>
      </c>
      <c r="Z91" s="5" t="s">
        <v>518</v>
      </c>
    </row>
    <row r="92" spans="1:26" ht="84">
      <c r="A92" s="164">
        <v>91</v>
      </c>
      <c r="B92" s="70"/>
      <c r="C92" s="70"/>
      <c r="D92" s="82">
        <v>902</v>
      </c>
      <c r="E92" s="132" t="s">
        <v>286</v>
      </c>
      <c r="F92" s="71" t="s">
        <v>519</v>
      </c>
      <c r="G92" s="14" t="s">
        <v>520</v>
      </c>
      <c r="H92" s="14" t="s">
        <v>891</v>
      </c>
      <c r="I92" s="74"/>
      <c r="J92" s="5"/>
      <c r="K92" s="70" t="s">
        <v>52</v>
      </c>
      <c r="L92" s="82">
        <v>1</v>
      </c>
      <c r="M92" s="92"/>
      <c r="N92" s="5" t="s">
        <v>522</v>
      </c>
      <c r="O92" s="5" t="s">
        <v>522</v>
      </c>
      <c r="P92" s="176" t="s">
        <v>522</v>
      </c>
      <c r="Q92" s="176" t="s">
        <v>522</v>
      </c>
      <c r="R92" s="316" t="s">
        <v>522</v>
      </c>
      <c r="S92" s="317" t="s">
        <v>522</v>
      </c>
      <c r="T92" s="5" t="s">
        <v>523</v>
      </c>
      <c r="U92" s="5" t="s">
        <v>523</v>
      </c>
      <c r="V92" s="5" t="s">
        <v>892</v>
      </c>
      <c r="W92" s="5" t="s">
        <v>893</v>
      </c>
      <c r="X92" s="5" t="s">
        <v>893</v>
      </c>
      <c r="Y92" s="5" t="s">
        <v>523</v>
      </c>
      <c r="Z92" s="5" t="s">
        <v>523</v>
      </c>
    </row>
    <row r="93" spans="1:26" ht="60">
      <c r="A93" s="164">
        <v>92</v>
      </c>
      <c r="B93" s="70"/>
      <c r="C93" s="70"/>
      <c r="D93" s="82">
        <v>905</v>
      </c>
      <c r="E93" s="132" t="s">
        <v>524</v>
      </c>
      <c r="F93" s="71" t="s">
        <v>525</v>
      </c>
      <c r="G93" s="14" t="s">
        <v>526</v>
      </c>
      <c r="H93" s="14" t="s">
        <v>527</v>
      </c>
      <c r="J93" s="74" t="s">
        <v>528</v>
      </c>
      <c r="K93" s="70" t="s">
        <v>166</v>
      </c>
      <c r="L93" s="82">
        <v>1</v>
      </c>
      <c r="M93" s="92"/>
      <c r="N93" s="216" t="s">
        <v>165</v>
      </c>
      <c r="O93" s="216" t="s">
        <v>165</v>
      </c>
      <c r="P93" s="347" t="s">
        <v>165</v>
      </c>
      <c r="Q93" s="347" t="s">
        <v>165</v>
      </c>
      <c r="R93" s="320" t="s">
        <v>165</v>
      </c>
      <c r="S93" s="321" t="s">
        <v>165</v>
      </c>
      <c r="T93" s="5" t="s">
        <v>663</v>
      </c>
      <c r="U93" s="5" t="s">
        <v>663</v>
      </c>
      <c r="V93" s="5" t="s">
        <v>148</v>
      </c>
      <c r="W93" s="5" t="s">
        <v>894</v>
      </c>
      <c r="X93" s="5" t="s">
        <v>894</v>
      </c>
      <c r="Y93" s="5" t="s">
        <v>663</v>
      </c>
      <c r="Z93" s="5" t="s">
        <v>663</v>
      </c>
    </row>
    <row r="94" spans="1:26" ht="60">
      <c r="A94" s="164">
        <v>93</v>
      </c>
      <c r="B94" s="70"/>
      <c r="C94" s="70"/>
      <c r="D94" s="82">
        <v>921</v>
      </c>
      <c r="E94" s="132" t="s">
        <v>265</v>
      </c>
      <c r="F94" s="71" t="s">
        <v>529</v>
      </c>
      <c r="G94" s="74" t="s">
        <v>530</v>
      </c>
      <c r="H94" s="14" t="s">
        <v>531</v>
      </c>
      <c r="I94" s="74"/>
      <c r="J94" s="72"/>
      <c r="K94" s="70" t="s">
        <v>166</v>
      </c>
      <c r="L94" s="82">
        <v>0</v>
      </c>
      <c r="M94" s="92"/>
      <c r="N94" s="216" t="s">
        <v>165</v>
      </c>
      <c r="O94" s="216" t="s">
        <v>165</v>
      </c>
      <c r="P94" s="347" t="s">
        <v>165</v>
      </c>
      <c r="Q94" s="347" t="s">
        <v>165</v>
      </c>
      <c r="R94" s="320" t="s">
        <v>165</v>
      </c>
      <c r="S94" s="321" t="s">
        <v>165</v>
      </c>
      <c r="T94" s="5" t="s">
        <v>663</v>
      </c>
      <c r="U94" s="5" t="s">
        <v>663</v>
      </c>
      <c r="V94" s="5" t="s">
        <v>148</v>
      </c>
      <c r="W94" s="5" t="s">
        <v>670</v>
      </c>
      <c r="X94" s="5" t="s">
        <v>670</v>
      </c>
      <c r="Y94" s="5" t="s">
        <v>663</v>
      </c>
      <c r="Z94" s="5" t="s">
        <v>663</v>
      </c>
    </row>
    <row r="95" spans="1:26" ht="108">
      <c r="A95" s="164">
        <v>94</v>
      </c>
      <c r="B95" s="12"/>
      <c r="C95" s="12"/>
      <c r="D95" s="32">
        <v>945</v>
      </c>
      <c r="E95" s="32" t="s">
        <v>27</v>
      </c>
      <c r="F95" s="85"/>
      <c r="G95" s="51" t="s">
        <v>532</v>
      </c>
      <c r="H95" s="87" t="s">
        <v>533</v>
      </c>
      <c r="I95" s="51"/>
      <c r="J95" s="95" t="s">
        <v>534</v>
      </c>
      <c r="K95" s="32" t="s">
        <v>166</v>
      </c>
      <c r="L95" s="32">
        <v>0</v>
      </c>
      <c r="M95" s="90" t="s">
        <v>155</v>
      </c>
      <c r="N95" s="216" t="s">
        <v>165</v>
      </c>
      <c r="O95" s="216" t="s">
        <v>165</v>
      </c>
      <c r="P95" s="347" t="s">
        <v>165</v>
      </c>
      <c r="Q95" s="347" t="s">
        <v>165</v>
      </c>
      <c r="R95" s="320" t="s">
        <v>165</v>
      </c>
      <c r="S95" s="321" t="s">
        <v>165</v>
      </c>
      <c r="T95" s="4" t="s">
        <v>148</v>
      </c>
      <c r="U95" s="4" t="s">
        <v>148</v>
      </c>
      <c r="V95" s="4" t="s">
        <v>148</v>
      </c>
      <c r="W95" s="4" t="s">
        <v>670</v>
      </c>
      <c r="X95" s="51" t="s">
        <v>670</v>
      </c>
      <c r="Y95" s="209" t="s">
        <v>148</v>
      </c>
      <c r="Z95" s="209" t="s">
        <v>148</v>
      </c>
    </row>
    <row r="96" spans="1:26" ht="36">
      <c r="A96" s="164">
        <v>95</v>
      </c>
      <c r="B96" s="106"/>
      <c r="C96" s="106"/>
      <c r="D96" s="107">
        <v>946</v>
      </c>
      <c r="E96" s="107" t="s">
        <v>535</v>
      </c>
      <c r="F96" s="108" t="s">
        <v>536</v>
      </c>
      <c r="G96" s="109" t="s">
        <v>537</v>
      </c>
      <c r="H96" s="115" t="s">
        <v>538</v>
      </c>
      <c r="I96" s="109"/>
      <c r="J96" s="110"/>
      <c r="K96" s="107" t="s">
        <v>58</v>
      </c>
      <c r="L96" s="107">
        <v>0</v>
      </c>
      <c r="M96" s="112"/>
      <c r="N96" s="89" t="s">
        <v>179</v>
      </c>
      <c r="O96" s="89" t="s">
        <v>179</v>
      </c>
      <c r="P96" s="345" t="s">
        <v>179</v>
      </c>
      <c r="Q96" s="345" t="s">
        <v>179</v>
      </c>
      <c r="R96" s="314" t="s">
        <v>179</v>
      </c>
      <c r="S96" s="315" t="s">
        <v>179</v>
      </c>
      <c r="T96" s="89" t="s">
        <v>669</v>
      </c>
      <c r="U96" s="89" t="s">
        <v>669</v>
      </c>
      <c r="V96" s="89" t="s">
        <v>669</v>
      </c>
      <c r="W96" s="89"/>
      <c r="X96" s="109"/>
      <c r="Y96" s="207" t="s">
        <v>669</v>
      </c>
      <c r="Z96" s="207" t="s">
        <v>669</v>
      </c>
    </row>
    <row r="97" spans="1:26" ht="91.5" customHeight="1">
      <c r="A97" s="164">
        <v>96</v>
      </c>
      <c r="B97" s="105"/>
      <c r="C97" s="105"/>
      <c r="D97" s="107">
        <v>955</v>
      </c>
      <c r="E97" s="107" t="s">
        <v>27</v>
      </c>
      <c r="F97" s="97" t="s">
        <v>302</v>
      </c>
      <c r="G97" s="109" t="s">
        <v>539</v>
      </c>
      <c r="H97" s="109" t="s">
        <v>540</v>
      </c>
      <c r="I97" s="103"/>
      <c r="J97" s="116" t="s">
        <v>685</v>
      </c>
      <c r="K97" s="107"/>
      <c r="L97" s="107">
        <v>0</v>
      </c>
      <c r="M97" s="102" t="s">
        <v>155</v>
      </c>
      <c r="N97" s="116" t="s">
        <v>165</v>
      </c>
      <c r="O97" s="116" t="s">
        <v>165</v>
      </c>
      <c r="P97" s="346" t="s">
        <v>165</v>
      </c>
      <c r="Q97" s="346" t="s">
        <v>165</v>
      </c>
      <c r="R97" s="320" t="s">
        <v>165</v>
      </c>
      <c r="S97" s="321" t="s">
        <v>165</v>
      </c>
      <c r="T97" s="116" t="s">
        <v>148</v>
      </c>
      <c r="U97" s="116" t="s">
        <v>148</v>
      </c>
      <c r="V97" s="116" t="s">
        <v>148</v>
      </c>
      <c r="W97" s="116" t="s">
        <v>670</v>
      </c>
      <c r="X97" s="116" t="s">
        <v>670</v>
      </c>
      <c r="Y97" s="116" t="s">
        <v>148</v>
      </c>
      <c r="Z97" s="116" t="s">
        <v>148</v>
      </c>
    </row>
    <row r="98" spans="1:26" ht="132">
      <c r="A98" s="164">
        <v>97</v>
      </c>
      <c r="B98" s="106"/>
      <c r="C98" s="106"/>
      <c r="D98" s="107">
        <v>956</v>
      </c>
      <c r="E98" s="107" t="s">
        <v>220</v>
      </c>
      <c r="F98" s="108"/>
      <c r="G98" s="109" t="s">
        <v>541</v>
      </c>
      <c r="H98" s="109" t="s">
        <v>895</v>
      </c>
      <c r="I98" s="109"/>
      <c r="J98" s="110" t="s">
        <v>685</v>
      </c>
      <c r="K98" s="107" t="s">
        <v>166</v>
      </c>
      <c r="L98" s="107">
        <v>0</v>
      </c>
      <c r="M98" s="112"/>
      <c r="N98" s="89" t="s">
        <v>165</v>
      </c>
      <c r="O98" s="89" t="s">
        <v>165</v>
      </c>
      <c r="P98" s="345" t="s">
        <v>165</v>
      </c>
      <c r="Q98" s="345" t="s">
        <v>165</v>
      </c>
      <c r="R98" s="314" t="s">
        <v>165</v>
      </c>
      <c r="S98" s="315" t="s">
        <v>165</v>
      </c>
      <c r="T98" s="89" t="s">
        <v>148</v>
      </c>
      <c r="U98" s="89" t="s">
        <v>148</v>
      </c>
      <c r="V98" s="89" t="s">
        <v>148</v>
      </c>
      <c r="W98" s="159" t="s">
        <v>896</v>
      </c>
      <c r="X98" s="301" t="s">
        <v>896</v>
      </c>
      <c r="Y98" s="207" t="s">
        <v>148</v>
      </c>
      <c r="Z98" s="207" t="s">
        <v>148</v>
      </c>
    </row>
    <row r="99" spans="1:26" ht="24">
      <c r="A99" s="164">
        <v>98</v>
      </c>
      <c r="B99" s="106"/>
      <c r="C99" s="106"/>
      <c r="D99" s="107">
        <v>959</v>
      </c>
      <c r="E99" s="225" t="s">
        <v>27</v>
      </c>
      <c r="F99" s="226"/>
      <c r="G99" s="144" t="s">
        <v>543</v>
      </c>
      <c r="H99" s="144"/>
      <c r="I99" s="227" t="s">
        <v>2</v>
      </c>
      <c r="J99" s="227" t="s">
        <v>544</v>
      </c>
      <c r="K99" s="107"/>
      <c r="L99" s="107"/>
      <c r="M99" s="112"/>
      <c r="N99" s="228"/>
      <c r="O99" s="228"/>
      <c r="P99" s="345"/>
      <c r="Q99" s="345"/>
      <c r="R99" s="310" t="s">
        <v>793</v>
      </c>
      <c r="S99" s="311" t="s">
        <v>793</v>
      </c>
      <c r="T99" s="89" t="s">
        <v>165</v>
      </c>
      <c r="U99" s="89" t="s">
        <v>165</v>
      </c>
      <c r="V99" s="89"/>
      <c r="W99" s="159"/>
      <c r="X99" s="298"/>
      <c r="Y99" s="299"/>
      <c r="Z99" s="207"/>
    </row>
    <row r="100" spans="1:26" ht="24">
      <c r="A100" s="164">
        <v>99</v>
      </c>
      <c r="B100" s="106"/>
      <c r="C100" s="106"/>
      <c r="D100" s="107">
        <v>960</v>
      </c>
      <c r="E100" s="225" t="s">
        <v>27</v>
      </c>
      <c r="F100" s="226"/>
      <c r="G100" s="144" t="s">
        <v>545</v>
      </c>
      <c r="H100" s="144"/>
      <c r="I100" s="227" t="s">
        <v>2</v>
      </c>
      <c r="J100" s="227" t="s">
        <v>546</v>
      </c>
      <c r="K100" s="292"/>
      <c r="L100" s="292"/>
      <c r="M100" s="293"/>
      <c r="N100" s="228"/>
      <c r="O100" s="228"/>
      <c r="P100" s="345"/>
      <c r="Q100" s="345"/>
      <c r="R100" s="310" t="s">
        <v>793</v>
      </c>
      <c r="S100" s="311" t="s">
        <v>793</v>
      </c>
      <c r="T100" s="294"/>
      <c r="U100" s="294"/>
      <c r="V100" s="295"/>
      <c r="W100" s="296"/>
      <c r="X100" s="298"/>
      <c r="Y100" s="300"/>
      <c r="Z100" s="297"/>
    </row>
    <row r="101" spans="1:26" ht="24">
      <c r="A101" s="164">
        <v>100</v>
      </c>
      <c r="B101" s="12"/>
      <c r="C101" s="12"/>
      <c r="D101" s="32">
        <v>961</v>
      </c>
      <c r="E101" s="250" t="s">
        <v>430</v>
      </c>
      <c r="F101" s="261" t="s">
        <v>547</v>
      </c>
      <c r="G101" s="262" t="s">
        <v>548</v>
      </c>
      <c r="H101" s="262" t="s">
        <v>549</v>
      </c>
      <c r="I101" s="72" t="s">
        <v>2</v>
      </c>
      <c r="J101" s="288" t="s">
        <v>550</v>
      </c>
      <c r="K101" s="279"/>
      <c r="L101" s="279"/>
      <c r="M101" s="280"/>
      <c r="N101" s="240" t="s">
        <v>551</v>
      </c>
      <c r="O101" s="240" t="s">
        <v>551</v>
      </c>
      <c r="P101" s="345" t="s">
        <v>551</v>
      </c>
      <c r="Q101" s="345" t="s">
        <v>551</v>
      </c>
      <c r="R101" s="325" t="s">
        <v>793</v>
      </c>
      <c r="S101" s="326" t="s">
        <v>793</v>
      </c>
      <c r="T101" s="281"/>
      <c r="U101" s="281"/>
      <c r="V101" s="281"/>
      <c r="W101" s="282"/>
      <c r="X101" s="302"/>
      <c r="Y101" s="283"/>
      <c r="Z101" s="283"/>
    </row>
    <row r="102" spans="1:26" ht="24">
      <c r="A102" s="164">
        <v>101</v>
      </c>
      <c r="B102" s="12"/>
      <c r="C102" s="12"/>
      <c r="D102" s="32">
        <v>964</v>
      </c>
      <c r="E102" s="241" t="s">
        <v>552</v>
      </c>
      <c r="F102" s="257" t="s">
        <v>547</v>
      </c>
      <c r="G102" s="246" t="s">
        <v>553</v>
      </c>
      <c r="H102" s="248" t="s">
        <v>554</v>
      </c>
      <c r="I102" s="258" t="s">
        <v>2</v>
      </c>
      <c r="J102" s="289" t="s">
        <v>550</v>
      </c>
      <c r="K102" s="279"/>
      <c r="L102" s="279"/>
      <c r="M102" s="280"/>
      <c r="N102" s="240" t="s">
        <v>551</v>
      </c>
      <c r="O102" s="249" t="s">
        <v>551</v>
      </c>
      <c r="P102" s="345" t="s">
        <v>551</v>
      </c>
      <c r="Q102" s="344" t="s">
        <v>551</v>
      </c>
      <c r="R102" s="280"/>
      <c r="S102" s="280"/>
      <c r="T102" s="245" t="s">
        <v>2</v>
      </c>
      <c r="U102" s="245" t="s">
        <v>2</v>
      </c>
      <c r="V102" s="281"/>
      <c r="W102" s="282"/>
      <c r="X102" s="282"/>
      <c r="Y102" s="283"/>
      <c r="Z102" s="283"/>
    </row>
    <row r="103" spans="1:26" ht="24">
      <c r="A103" s="164">
        <v>102</v>
      </c>
      <c r="B103" s="12"/>
      <c r="C103" s="12"/>
      <c r="D103" s="32">
        <v>967</v>
      </c>
      <c r="E103" s="269" t="s">
        <v>552</v>
      </c>
      <c r="F103" s="270" t="s">
        <v>555</v>
      </c>
      <c r="G103" s="271" t="s">
        <v>556</v>
      </c>
      <c r="H103" s="271" t="s">
        <v>557</v>
      </c>
      <c r="I103" s="273" t="s">
        <v>2</v>
      </c>
      <c r="J103" s="290" t="s">
        <v>550</v>
      </c>
      <c r="K103" s="279"/>
      <c r="L103" s="279"/>
      <c r="M103" s="280"/>
      <c r="N103" s="254" t="s">
        <v>551</v>
      </c>
      <c r="O103" s="274" t="s">
        <v>551</v>
      </c>
      <c r="P103" s="343" t="s">
        <v>551</v>
      </c>
      <c r="Q103" s="342" t="s">
        <v>551</v>
      </c>
      <c r="R103" s="280"/>
      <c r="S103" s="280"/>
      <c r="T103" s="245" t="s">
        <v>2</v>
      </c>
      <c r="U103" s="245" t="s">
        <v>2</v>
      </c>
      <c r="V103" s="281"/>
      <c r="W103" s="282"/>
      <c r="X103" s="282"/>
      <c r="Y103" s="283"/>
      <c r="Z103" s="283"/>
    </row>
    <row r="104" spans="1:26">
      <c r="A104" s="164">
        <v>103</v>
      </c>
      <c r="B104" s="75"/>
      <c r="C104" s="75"/>
      <c r="D104" s="32">
        <v>994</v>
      </c>
      <c r="E104" s="241" t="s">
        <v>558</v>
      </c>
      <c r="F104" s="257"/>
      <c r="G104" s="246" t="s">
        <v>559</v>
      </c>
      <c r="H104" s="248" t="s">
        <v>501</v>
      </c>
      <c r="I104" s="265"/>
      <c r="J104" s="291"/>
      <c r="K104" s="284" t="s">
        <v>2</v>
      </c>
      <c r="L104" s="279">
        <v>0</v>
      </c>
      <c r="M104" s="285"/>
      <c r="N104" s="285"/>
      <c r="O104" s="285"/>
      <c r="P104" s="341"/>
      <c r="Q104" s="341"/>
      <c r="R104" s="285"/>
      <c r="S104" s="285"/>
      <c r="T104" s="245" t="s">
        <v>2</v>
      </c>
      <c r="U104" s="245" t="s">
        <v>2</v>
      </c>
      <c r="V104" s="265"/>
      <c r="W104" s="246"/>
      <c r="X104" s="248"/>
      <c r="Y104" s="286"/>
      <c r="Z104" s="287"/>
    </row>
    <row r="105" spans="1:26">
      <c r="A105" s="17"/>
      <c r="B105" s="25"/>
      <c r="C105" s="25"/>
      <c r="D105" s="19"/>
      <c r="E105" s="19"/>
      <c r="F105" s="21"/>
      <c r="G105" s="22"/>
      <c r="H105" s="22"/>
      <c r="I105" s="9"/>
      <c r="J105" s="23"/>
      <c r="K105" s="25"/>
      <c r="L105" s="25"/>
      <c r="M105" s="66"/>
      <c r="N105" s="66"/>
      <c r="O105" s="66"/>
      <c r="P105" s="66"/>
      <c r="Q105" s="66"/>
      <c r="R105" s="66"/>
      <c r="S105" s="66"/>
      <c r="T105" s="23"/>
      <c r="U105" s="23"/>
      <c r="V105" s="23"/>
      <c r="W105" s="9"/>
      <c r="X105" s="169"/>
    </row>
    <row r="106" spans="1:26">
      <c r="A106" s="17"/>
      <c r="B106" s="8"/>
      <c r="C106" s="8"/>
      <c r="D106" s="19"/>
      <c r="E106" s="19"/>
      <c r="F106" s="21"/>
      <c r="G106" s="9"/>
      <c r="H106" s="22"/>
      <c r="I106" s="9"/>
      <c r="J106" s="23"/>
      <c r="K106" s="25"/>
      <c r="L106" s="25"/>
      <c r="M106" s="66"/>
      <c r="N106" s="66"/>
      <c r="O106" s="66"/>
      <c r="P106" s="66"/>
      <c r="Q106" s="66"/>
      <c r="R106" s="66"/>
      <c r="S106" s="66"/>
      <c r="T106" s="23"/>
      <c r="U106" s="23"/>
      <c r="V106" s="23"/>
      <c r="W106" s="9"/>
      <c r="X106" s="169"/>
    </row>
    <row r="107" spans="1:26">
      <c r="A107" s="17"/>
      <c r="B107" s="25"/>
      <c r="C107" s="25"/>
      <c r="D107" s="19"/>
      <c r="E107" s="19"/>
      <c r="F107" s="21"/>
      <c r="G107" s="22"/>
      <c r="H107" s="22"/>
      <c r="I107" s="9"/>
      <c r="J107" s="23"/>
      <c r="K107" s="25"/>
      <c r="L107" s="25"/>
      <c r="M107" s="66"/>
      <c r="N107" s="66"/>
      <c r="O107" s="66"/>
      <c r="P107" s="66"/>
      <c r="Q107" s="66"/>
      <c r="R107" s="66"/>
      <c r="S107" s="66"/>
      <c r="T107" s="23"/>
      <c r="U107" s="23"/>
      <c r="V107" s="23"/>
      <c r="W107" s="9"/>
      <c r="X107" s="169"/>
    </row>
    <row r="108" spans="1:26">
      <c r="A108" s="17"/>
      <c r="B108" s="8"/>
      <c r="C108" s="8"/>
      <c r="D108" s="19"/>
      <c r="E108" s="19"/>
      <c r="F108" s="21"/>
      <c r="G108" s="9"/>
      <c r="H108" s="22"/>
      <c r="I108" s="9"/>
      <c r="J108" s="23"/>
      <c r="K108" s="25"/>
      <c r="L108" s="25"/>
      <c r="M108" s="66"/>
      <c r="N108" s="66"/>
      <c r="O108" s="66"/>
      <c r="P108" s="66"/>
      <c r="Q108" s="66"/>
      <c r="R108" s="66"/>
      <c r="S108" s="66"/>
      <c r="T108" s="23"/>
      <c r="U108" s="23"/>
      <c r="V108" s="23"/>
      <c r="W108" s="28"/>
      <c r="X108" s="169"/>
    </row>
    <row r="109" spans="1:26">
      <c r="A109" s="17"/>
      <c r="B109" s="8"/>
      <c r="C109" s="8"/>
      <c r="D109" s="19"/>
      <c r="E109" s="19"/>
      <c r="F109" s="21"/>
      <c r="G109" s="9"/>
      <c r="H109" s="22"/>
      <c r="I109" s="9"/>
      <c r="J109" s="23"/>
      <c r="K109" s="25"/>
      <c r="L109" s="25"/>
      <c r="M109" s="66"/>
      <c r="N109" s="66"/>
      <c r="O109" s="66"/>
      <c r="P109" s="66"/>
      <c r="Q109" s="66"/>
      <c r="R109" s="66"/>
      <c r="S109" s="66"/>
      <c r="T109" s="23"/>
      <c r="U109" s="23"/>
      <c r="V109" s="23"/>
      <c r="W109" s="28"/>
      <c r="X109" s="169"/>
    </row>
    <row r="110" spans="1:26">
      <c r="A110" s="17"/>
      <c r="B110" s="25"/>
      <c r="C110" s="25"/>
      <c r="D110" s="19"/>
      <c r="E110" s="20"/>
      <c r="F110" s="21"/>
      <c r="G110" s="22"/>
      <c r="H110" s="22"/>
      <c r="I110" s="9"/>
      <c r="J110" s="23"/>
      <c r="K110" s="25"/>
      <c r="L110" s="25"/>
      <c r="M110" s="66"/>
      <c r="N110" s="66"/>
      <c r="O110" s="66"/>
      <c r="P110" s="66"/>
      <c r="Q110" s="66"/>
      <c r="R110" s="66"/>
      <c r="S110" s="66"/>
      <c r="T110" s="23"/>
      <c r="U110" s="23"/>
      <c r="V110" s="23"/>
      <c r="W110" s="9"/>
      <c r="X110" s="169"/>
    </row>
    <row r="111" spans="1:26">
      <c r="A111" s="17"/>
      <c r="B111" s="25"/>
      <c r="C111" s="25"/>
      <c r="D111" s="19"/>
      <c r="E111" s="19"/>
      <c r="F111" s="21"/>
      <c r="G111" s="22"/>
      <c r="H111" s="22"/>
      <c r="I111" s="9"/>
      <c r="J111" s="23"/>
      <c r="K111" s="25"/>
      <c r="L111" s="25"/>
      <c r="M111" s="66"/>
      <c r="N111" s="66"/>
      <c r="O111" s="66"/>
      <c r="P111" s="66"/>
      <c r="Q111" s="66"/>
      <c r="R111" s="66"/>
      <c r="S111" s="66"/>
      <c r="T111" s="23"/>
      <c r="U111" s="23"/>
      <c r="V111" s="23"/>
      <c r="W111" s="9"/>
      <c r="X111" s="169"/>
    </row>
    <row r="112" spans="1:26">
      <c r="A112" s="17"/>
      <c r="B112" s="25"/>
      <c r="C112" s="25"/>
      <c r="D112" s="19"/>
      <c r="E112" s="19"/>
      <c r="F112" s="21"/>
      <c r="G112" s="22"/>
      <c r="H112" s="22"/>
      <c r="I112" s="9"/>
      <c r="J112" s="23"/>
      <c r="K112" s="25"/>
      <c r="L112" s="25"/>
      <c r="M112" s="66"/>
      <c r="N112" s="66"/>
      <c r="O112" s="66"/>
      <c r="P112" s="66"/>
      <c r="Q112" s="66"/>
      <c r="R112" s="66"/>
      <c r="S112" s="66"/>
      <c r="T112" s="23"/>
      <c r="U112" s="23"/>
      <c r="V112" s="23"/>
      <c r="W112" s="9"/>
      <c r="X112" s="169"/>
    </row>
    <row r="113" spans="1:24">
      <c r="A113" s="17"/>
      <c r="B113" s="25"/>
      <c r="C113" s="25"/>
      <c r="D113" s="19"/>
      <c r="E113" s="19"/>
      <c r="F113" s="21"/>
      <c r="G113" s="22"/>
      <c r="H113" s="22"/>
      <c r="I113" s="9"/>
      <c r="J113" s="23"/>
      <c r="K113" s="25"/>
      <c r="L113" s="25"/>
      <c r="M113" s="66"/>
      <c r="N113" s="66"/>
      <c r="O113" s="66"/>
      <c r="P113" s="66"/>
      <c r="Q113" s="66"/>
      <c r="R113" s="66"/>
      <c r="S113" s="66"/>
      <c r="T113" s="23"/>
      <c r="U113" s="23"/>
      <c r="V113" s="23"/>
      <c r="W113" s="9"/>
      <c r="X113" s="169"/>
    </row>
    <row r="114" spans="1:24">
      <c r="A114" s="17"/>
      <c r="B114" s="25"/>
      <c r="C114" s="25"/>
      <c r="D114" s="19"/>
      <c r="E114" s="19"/>
      <c r="F114" s="21"/>
      <c r="G114" s="22"/>
      <c r="H114" s="22"/>
      <c r="I114" s="9"/>
      <c r="J114" s="23"/>
      <c r="K114" s="25"/>
      <c r="L114" s="25"/>
      <c r="M114" s="66"/>
      <c r="N114" s="66"/>
      <c r="O114" s="66"/>
      <c r="P114" s="66"/>
      <c r="Q114" s="66"/>
      <c r="R114" s="66"/>
      <c r="S114" s="66"/>
      <c r="T114" s="23"/>
      <c r="U114" s="23"/>
      <c r="V114" s="23"/>
      <c r="W114" s="9"/>
      <c r="X114" s="169"/>
    </row>
    <row r="115" spans="1:24">
      <c r="A115" s="17"/>
      <c r="B115" s="25"/>
      <c r="C115" s="25"/>
      <c r="D115" s="19"/>
      <c r="E115" s="19"/>
      <c r="F115" s="21"/>
      <c r="G115" s="22"/>
      <c r="H115" s="22"/>
      <c r="I115" s="9"/>
      <c r="J115" s="23"/>
      <c r="K115" s="25"/>
      <c r="L115" s="25"/>
      <c r="M115" s="66"/>
      <c r="N115" s="66"/>
      <c r="O115" s="66"/>
      <c r="P115" s="66"/>
      <c r="Q115" s="66"/>
      <c r="R115" s="66"/>
      <c r="S115" s="66"/>
      <c r="T115" s="23"/>
      <c r="U115" s="23"/>
      <c r="V115" s="23"/>
      <c r="W115" s="9"/>
      <c r="X115" s="169"/>
    </row>
    <row r="116" spans="1:24">
      <c r="A116" s="17"/>
      <c r="B116" s="25"/>
      <c r="C116" s="25"/>
      <c r="D116" s="19"/>
      <c r="E116" s="19"/>
      <c r="F116" s="21"/>
      <c r="G116" s="22"/>
      <c r="H116" s="22"/>
      <c r="I116" s="9"/>
      <c r="J116" s="23"/>
      <c r="K116" s="25"/>
      <c r="L116" s="25"/>
      <c r="M116" s="66"/>
      <c r="N116" s="66"/>
      <c r="O116" s="66"/>
      <c r="P116" s="66"/>
      <c r="Q116" s="66"/>
      <c r="R116" s="66"/>
      <c r="S116" s="66"/>
      <c r="T116" s="23"/>
      <c r="U116" s="23"/>
      <c r="V116" s="23"/>
      <c r="W116" s="9"/>
      <c r="X116" s="169"/>
    </row>
    <row r="117" spans="1:24">
      <c r="A117" s="17"/>
      <c r="B117" s="25"/>
      <c r="C117" s="25"/>
      <c r="D117" s="19"/>
      <c r="E117" s="20"/>
      <c r="F117" s="21"/>
      <c r="G117" s="22"/>
      <c r="H117" s="22"/>
      <c r="I117" s="9"/>
      <c r="J117" s="23"/>
      <c r="K117" s="25"/>
      <c r="L117" s="25"/>
      <c r="M117" s="66"/>
      <c r="N117" s="66"/>
      <c r="O117" s="66"/>
      <c r="P117" s="66"/>
      <c r="Q117" s="66"/>
      <c r="R117" s="66"/>
      <c r="S117" s="66"/>
      <c r="T117" s="23"/>
      <c r="U117" s="23"/>
      <c r="V117" s="23"/>
      <c r="W117" s="9"/>
      <c r="X117" s="169"/>
    </row>
    <row r="118" spans="1:24">
      <c r="A118" s="17"/>
      <c r="B118" s="25"/>
      <c r="C118" s="25"/>
      <c r="D118" s="19"/>
      <c r="E118" s="19"/>
      <c r="F118" s="21"/>
      <c r="G118" s="22"/>
      <c r="H118" s="22"/>
      <c r="I118" s="9"/>
      <c r="J118" s="23"/>
      <c r="K118" s="25"/>
      <c r="L118" s="25"/>
      <c r="M118" s="66"/>
      <c r="N118" s="66"/>
      <c r="O118" s="66"/>
      <c r="P118" s="66"/>
      <c r="Q118" s="66"/>
      <c r="R118" s="66"/>
      <c r="S118" s="66"/>
      <c r="T118" s="23"/>
      <c r="U118" s="23"/>
      <c r="V118" s="23"/>
      <c r="W118" s="9"/>
      <c r="X118" s="169"/>
    </row>
    <row r="119" spans="1:24">
      <c r="A119" s="17"/>
      <c r="B119" s="25"/>
      <c r="C119" s="25"/>
      <c r="D119" s="19"/>
      <c r="E119" s="20"/>
      <c r="F119" s="21"/>
      <c r="G119" s="22"/>
      <c r="H119" s="22"/>
      <c r="I119" s="9"/>
      <c r="J119" s="23"/>
      <c r="K119" s="25"/>
      <c r="L119" s="25"/>
      <c r="M119" s="66"/>
      <c r="N119" s="66"/>
      <c r="O119" s="66"/>
      <c r="P119" s="66"/>
      <c r="Q119" s="66"/>
      <c r="R119" s="66"/>
      <c r="S119" s="66"/>
      <c r="T119" s="23"/>
      <c r="U119" s="23"/>
      <c r="V119" s="23"/>
      <c r="W119" s="9"/>
      <c r="X119" s="169"/>
    </row>
    <row r="120" spans="1:24">
      <c r="A120" s="17"/>
      <c r="B120" s="25"/>
      <c r="C120" s="25"/>
      <c r="D120" s="19"/>
      <c r="E120" s="19"/>
      <c r="F120" s="21"/>
      <c r="G120" s="22"/>
      <c r="H120" s="22"/>
      <c r="I120" s="9"/>
      <c r="J120" s="23"/>
      <c r="K120" s="25"/>
      <c r="L120" s="25"/>
      <c r="M120" s="66"/>
      <c r="N120" s="66"/>
      <c r="O120" s="66"/>
      <c r="P120" s="66"/>
      <c r="Q120" s="66"/>
      <c r="R120" s="66"/>
      <c r="S120" s="66"/>
      <c r="T120" s="23"/>
      <c r="U120" s="23"/>
      <c r="V120" s="23"/>
      <c r="W120" s="9"/>
      <c r="X120" s="169"/>
    </row>
    <row r="121" spans="1:24">
      <c r="A121" s="17"/>
      <c r="B121" s="25"/>
      <c r="C121" s="25"/>
      <c r="D121" s="19"/>
      <c r="E121" s="19"/>
      <c r="F121" s="21"/>
      <c r="G121" s="22"/>
      <c r="H121" s="22"/>
      <c r="I121" s="9"/>
      <c r="J121" s="23"/>
      <c r="K121" s="25"/>
      <c r="L121" s="25"/>
      <c r="M121" s="66"/>
      <c r="N121" s="66"/>
      <c r="O121" s="66"/>
      <c r="P121" s="66"/>
      <c r="Q121" s="66"/>
      <c r="R121" s="66"/>
      <c r="S121" s="66"/>
      <c r="T121" s="23"/>
      <c r="U121" s="23"/>
      <c r="V121" s="23"/>
      <c r="W121" s="9"/>
      <c r="X121" s="169"/>
    </row>
    <row r="122" spans="1:24">
      <c r="A122" s="17"/>
      <c r="B122" s="25"/>
      <c r="C122" s="25"/>
      <c r="D122" s="19"/>
      <c r="E122" s="19"/>
      <c r="F122" s="21"/>
      <c r="G122" s="22"/>
      <c r="H122" s="22"/>
      <c r="I122" s="9"/>
      <c r="J122" s="23"/>
      <c r="K122" s="25"/>
      <c r="L122" s="25"/>
      <c r="M122" s="66"/>
      <c r="N122" s="66"/>
      <c r="O122" s="66"/>
      <c r="P122" s="66"/>
      <c r="Q122" s="66"/>
      <c r="R122" s="66"/>
      <c r="S122" s="66"/>
      <c r="T122" s="23"/>
      <c r="U122" s="23"/>
      <c r="V122" s="23"/>
      <c r="W122" s="9"/>
      <c r="X122" s="169"/>
    </row>
    <row r="123" spans="1:24">
      <c r="A123" s="17"/>
      <c r="B123" s="25"/>
      <c r="C123" s="25"/>
      <c r="D123" s="19"/>
      <c r="E123" s="20"/>
      <c r="F123" s="21"/>
      <c r="G123" s="22"/>
      <c r="H123" s="22"/>
      <c r="I123" s="9"/>
      <c r="J123" s="23"/>
      <c r="K123" s="25"/>
      <c r="L123" s="25"/>
      <c r="M123" s="66"/>
      <c r="N123" s="66"/>
      <c r="O123" s="66"/>
      <c r="P123" s="66"/>
      <c r="Q123" s="66"/>
      <c r="R123" s="66"/>
      <c r="S123" s="66"/>
      <c r="T123" s="23"/>
      <c r="U123" s="23"/>
      <c r="V123" s="23"/>
      <c r="W123" s="9"/>
      <c r="X123" s="169"/>
    </row>
    <row r="124" spans="1:24">
      <c r="A124" s="17"/>
      <c r="B124" s="25"/>
      <c r="C124" s="25"/>
      <c r="D124" s="19"/>
      <c r="E124" s="19"/>
      <c r="F124" s="21"/>
      <c r="G124" s="22"/>
      <c r="H124" s="22"/>
      <c r="I124" s="9"/>
      <c r="J124" s="23"/>
      <c r="K124" s="25"/>
      <c r="L124" s="25"/>
      <c r="M124" s="66"/>
      <c r="N124" s="66"/>
      <c r="O124" s="66"/>
      <c r="P124" s="66"/>
      <c r="Q124" s="66"/>
      <c r="R124" s="66"/>
      <c r="S124" s="66"/>
      <c r="T124" s="23"/>
      <c r="U124" s="23"/>
      <c r="V124" s="23"/>
      <c r="W124" s="9"/>
      <c r="X124" s="169"/>
    </row>
    <row r="125" spans="1:24">
      <c r="A125" s="17"/>
      <c r="B125" s="25"/>
      <c r="C125" s="25"/>
      <c r="D125" s="19"/>
      <c r="E125" s="20"/>
      <c r="F125" s="21"/>
      <c r="G125" s="22"/>
      <c r="H125" s="22"/>
      <c r="I125" s="9"/>
      <c r="J125" s="23"/>
      <c r="K125" s="25"/>
      <c r="L125" s="25"/>
      <c r="M125" s="66"/>
      <c r="N125" s="66"/>
      <c r="O125" s="66"/>
      <c r="P125" s="66"/>
      <c r="Q125" s="66"/>
      <c r="R125" s="66"/>
      <c r="S125" s="66"/>
      <c r="T125" s="23"/>
      <c r="U125" s="23"/>
      <c r="V125" s="23"/>
      <c r="W125" s="9"/>
      <c r="X125" s="169"/>
    </row>
    <row r="126" spans="1:24">
      <c r="A126" s="17"/>
      <c r="B126" s="25"/>
      <c r="C126" s="25"/>
      <c r="D126" s="19"/>
      <c r="E126" s="20"/>
      <c r="F126" s="21"/>
      <c r="G126" s="22"/>
      <c r="H126" s="22"/>
      <c r="I126" s="9"/>
      <c r="J126" s="23"/>
      <c r="K126" s="25"/>
      <c r="L126" s="25"/>
      <c r="M126" s="66"/>
      <c r="N126" s="66"/>
      <c r="O126" s="66"/>
      <c r="P126" s="66"/>
      <c r="Q126" s="66"/>
      <c r="R126" s="66"/>
      <c r="S126" s="66"/>
      <c r="T126" s="23"/>
      <c r="U126" s="23"/>
      <c r="V126" s="23"/>
      <c r="W126" s="9"/>
      <c r="X126" s="169"/>
    </row>
    <row r="127" spans="1:24">
      <c r="A127" s="17"/>
      <c r="B127" s="25"/>
      <c r="C127" s="25"/>
      <c r="D127" s="19"/>
      <c r="E127" s="19"/>
      <c r="F127" s="21"/>
      <c r="G127" s="22"/>
      <c r="H127" s="22"/>
      <c r="I127" s="9"/>
      <c r="J127" s="23"/>
      <c r="K127" s="25"/>
      <c r="L127" s="25"/>
      <c r="M127" s="66"/>
      <c r="N127" s="66"/>
      <c r="O127" s="66"/>
      <c r="P127" s="66"/>
      <c r="Q127" s="66"/>
      <c r="R127" s="66"/>
      <c r="S127" s="66"/>
      <c r="T127" s="23"/>
      <c r="U127" s="23"/>
      <c r="V127" s="23"/>
      <c r="W127" s="9"/>
      <c r="X127" s="169"/>
    </row>
    <row r="128" spans="1:24">
      <c r="A128" s="17"/>
      <c r="B128" s="25"/>
      <c r="C128" s="25"/>
      <c r="D128" s="19"/>
      <c r="E128" s="20"/>
      <c r="F128" s="21"/>
      <c r="G128" s="22"/>
      <c r="H128" s="22"/>
      <c r="I128" s="9"/>
      <c r="J128" s="23"/>
      <c r="K128" s="25"/>
      <c r="L128" s="25"/>
      <c r="M128" s="66"/>
      <c r="N128" s="66"/>
      <c r="O128" s="66"/>
      <c r="P128" s="66"/>
      <c r="Q128" s="66"/>
      <c r="R128" s="66"/>
      <c r="S128" s="66"/>
      <c r="T128" s="23"/>
      <c r="U128" s="23"/>
      <c r="V128" s="23"/>
      <c r="W128" s="9"/>
      <c r="X128" s="169"/>
    </row>
    <row r="129" spans="1:24">
      <c r="A129" s="17"/>
      <c r="B129" s="25"/>
      <c r="C129" s="25"/>
      <c r="D129" s="19"/>
      <c r="E129" s="19"/>
      <c r="F129" s="21"/>
      <c r="G129" s="22"/>
      <c r="H129" s="22"/>
      <c r="I129" s="9"/>
      <c r="J129" s="23"/>
      <c r="K129" s="25"/>
      <c r="L129" s="25"/>
      <c r="M129" s="66"/>
      <c r="N129" s="66"/>
      <c r="O129" s="66"/>
      <c r="P129" s="66"/>
      <c r="Q129" s="66"/>
      <c r="R129" s="66"/>
      <c r="S129" s="66"/>
      <c r="T129" s="23"/>
      <c r="U129" s="23"/>
      <c r="V129" s="23"/>
      <c r="W129" s="9"/>
      <c r="X129" s="169"/>
    </row>
    <row r="130" spans="1:24">
      <c r="A130" s="17"/>
      <c r="B130" s="25"/>
      <c r="C130" s="25"/>
      <c r="D130" s="19"/>
      <c r="E130" s="19"/>
      <c r="F130" s="21"/>
      <c r="G130" s="22"/>
      <c r="H130" s="22"/>
      <c r="I130" s="9"/>
      <c r="J130" s="23"/>
      <c r="K130" s="25"/>
      <c r="L130" s="25"/>
      <c r="M130" s="66"/>
      <c r="N130" s="66"/>
      <c r="O130" s="66"/>
      <c r="P130" s="66"/>
      <c r="Q130" s="66"/>
      <c r="R130" s="66"/>
      <c r="S130" s="66"/>
      <c r="T130" s="23"/>
      <c r="U130" s="23"/>
      <c r="V130" s="23"/>
      <c r="W130" s="9"/>
      <c r="X130" s="169"/>
    </row>
    <row r="131" spans="1:24">
      <c r="A131" s="17"/>
      <c r="B131" s="8"/>
      <c r="C131" s="8"/>
      <c r="D131" s="19"/>
      <c r="E131" s="19"/>
      <c r="F131" s="21"/>
      <c r="G131" s="9"/>
      <c r="H131" s="22"/>
      <c r="I131" s="9"/>
      <c r="J131" s="23"/>
      <c r="K131" s="25"/>
      <c r="L131" s="25"/>
      <c r="M131" s="66"/>
      <c r="N131" s="66"/>
      <c r="O131" s="66"/>
      <c r="P131" s="66"/>
      <c r="Q131" s="66"/>
      <c r="R131" s="66"/>
      <c r="S131" s="66"/>
      <c r="T131" s="23"/>
      <c r="U131" s="23"/>
      <c r="V131" s="23"/>
      <c r="W131" s="9"/>
      <c r="X131" s="170"/>
    </row>
    <row r="132" spans="1:24">
      <c r="A132" s="17"/>
      <c r="B132" s="8"/>
      <c r="C132" s="8"/>
      <c r="D132" s="19"/>
      <c r="E132" s="19"/>
      <c r="F132" s="21"/>
      <c r="G132" s="9"/>
      <c r="H132" s="22"/>
      <c r="I132" s="9"/>
      <c r="J132" s="23"/>
      <c r="K132" s="25"/>
      <c r="L132" s="25"/>
      <c r="M132" s="66"/>
      <c r="N132" s="66"/>
      <c r="O132" s="66"/>
      <c r="P132" s="66"/>
      <c r="Q132" s="66"/>
      <c r="R132" s="66"/>
      <c r="S132" s="66"/>
      <c r="T132" s="23"/>
      <c r="U132" s="23"/>
      <c r="V132" s="23"/>
      <c r="W132" s="9"/>
      <c r="X132" s="169"/>
    </row>
    <row r="133" spans="1:24">
      <c r="A133" s="17"/>
      <c r="B133" s="25"/>
      <c r="C133" s="25"/>
      <c r="D133" s="19"/>
      <c r="E133" s="19"/>
      <c r="F133" s="21"/>
      <c r="G133" s="22"/>
      <c r="I133" s="9"/>
      <c r="J133" s="23"/>
      <c r="K133" s="25"/>
      <c r="L133" s="25"/>
      <c r="M133" s="66"/>
      <c r="N133" s="66"/>
      <c r="O133" s="66"/>
      <c r="P133" s="66"/>
      <c r="Q133" s="66"/>
      <c r="R133" s="66"/>
      <c r="S133" s="66"/>
      <c r="T133" s="23"/>
      <c r="U133" s="23"/>
      <c r="V133" s="23"/>
      <c r="W133" s="9"/>
      <c r="X133" s="169"/>
    </row>
    <row r="134" spans="1:24">
      <c r="A134" s="17"/>
      <c r="B134" s="8"/>
      <c r="C134" s="8"/>
      <c r="D134" s="19"/>
      <c r="E134" s="20"/>
      <c r="F134" s="21"/>
      <c r="G134" s="9"/>
      <c r="I134" s="9"/>
      <c r="J134" s="23"/>
      <c r="K134" s="25"/>
      <c r="L134" s="25"/>
      <c r="M134" s="66"/>
      <c r="N134" s="66"/>
      <c r="O134" s="66"/>
      <c r="P134" s="66"/>
      <c r="Q134" s="66"/>
      <c r="R134" s="66"/>
      <c r="S134" s="66"/>
      <c r="T134" s="23"/>
      <c r="U134" s="23"/>
      <c r="V134" s="23"/>
      <c r="W134" s="9"/>
      <c r="X134" s="169"/>
    </row>
    <row r="135" spans="1:24">
      <c r="A135" s="17"/>
      <c r="B135" s="25"/>
      <c r="C135" s="25"/>
      <c r="D135" s="19"/>
      <c r="E135" s="20"/>
      <c r="F135" s="21"/>
      <c r="G135" s="22"/>
      <c r="I135" s="9"/>
      <c r="J135" s="23"/>
      <c r="K135" s="25"/>
      <c r="L135" s="25"/>
      <c r="M135" s="66"/>
      <c r="N135" s="66"/>
      <c r="O135" s="66"/>
      <c r="P135" s="66"/>
      <c r="Q135" s="66"/>
      <c r="R135" s="66"/>
      <c r="S135" s="66"/>
      <c r="T135" s="23"/>
      <c r="U135" s="23"/>
      <c r="V135" s="23"/>
      <c r="W135" s="9"/>
      <c r="X135" s="169"/>
    </row>
    <row r="136" spans="1:24">
      <c r="A136" s="17"/>
      <c r="B136" s="25"/>
      <c r="C136" s="25"/>
      <c r="D136" s="19"/>
      <c r="E136" s="19"/>
      <c r="F136" s="21"/>
      <c r="G136" s="22"/>
      <c r="I136" s="9"/>
      <c r="J136" s="23"/>
      <c r="K136" s="25"/>
      <c r="L136" s="25"/>
      <c r="M136" s="66"/>
      <c r="N136" s="66"/>
      <c r="O136" s="66"/>
      <c r="P136" s="66"/>
      <c r="Q136" s="66"/>
      <c r="R136" s="66"/>
      <c r="S136" s="66"/>
      <c r="T136" s="23"/>
      <c r="U136" s="23"/>
      <c r="V136" s="23"/>
      <c r="W136" s="9"/>
      <c r="X136" s="169"/>
    </row>
    <row r="137" spans="1:24">
      <c r="A137" s="17"/>
      <c r="B137" s="8"/>
      <c r="C137" s="8"/>
      <c r="D137" s="19"/>
      <c r="E137" s="19"/>
      <c r="F137" s="21"/>
      <c r="G137" s="9"/>
      <c r="I137" s="9"/>
      <c r="J137" s="23"/>
      <c r="K137" s="25"/>
      <c r="L137" s="25"/>
      <c r="M137" s="66"/>
      <c r="N137" s="66"/>
      <c r="O137" s="66"/>
      <c r="P137" s="66"/>
      <c r="Q137" s="66"/>
      <c r="R137" s="66"/>
      <c r="S137" s="66"/>
      <c r="T137" s="23"/>
      <c r="U137" s="23"/>
      <c r="V137" s="23"/>
      <c r="W137" s="9"/>
      <c r="X137" s="170"/>
    </row>
    <row r="138" spans="1:24">
      <c r="A138" s="3" t="s">
        <v>2</v>
      </c>
      <c r="B138" s="16"/>
      <c r="C138" s="16"/>
      <c r="G138" s="40"/>
      <c r="W138" s="3"/>
      <c r="X138" s="171"/>
    </row>
    <row r="139" spans="1:24">
      <c r="A139" s="3" t="s">
        <v>2</v>
      </c>
      <c r="B139" s="16"/>
      <c r="C139" s="16"/>
      <c r="G139" s="40"/>
      <c r="W139" s="3"/>
      <c r="X139" s="171"/>
    </row>
    <row r="140" spans="1:24">
      <c r="A140" s="3" t="s">
        <v>2</v>
      </c>
      <c r="B140" s="16"/>
      <c r="C140" s="16"/>
      <c r="G140" s="40"/>
      <c r="W140" s="3"/>
      <c r="X140" s="171"/>
    </row>
    <row r="141" spans="1:24">
      <c r="A141" s="3" t="s">
        <v>2</v>
      </c>
      <c r="B141" s="16"/>
      <c r="C141" s="16"/>
      <c r="G141" s="40"/>
      <c r="W141" s="3"/>
      <c r="X141" s="171"/>
    </row>
    <row r="142" spans="1:24">
      <c r="A142" s="3" t="s">
        <v>2</v>
      </c>
      <c r="B142" s="16"/>
      <c r="C142" s="16"/>
      <c r="G142" s="40"/>
      <c r="W142" s="3"/>
      <c r="X142" s="171"/>
    </row>
    <row r="143" spans="1:24">
      <c r="A143" s="3" t="s">
        <v>2</v>
      </c>
      <c r="B143" s="16"/>
      <c r="C143" s="16"/>
      <c r="G143" s="40"/>
      <c r="W143" s="3"/>
      <c r="X143" s="171"/>
    </row>
    <row r="144" spans="1:24">
      <c r="A144" s="3" t="s">
        <v>2</v>
      </c>
      <c r="B144" s="16"/>
      <c r="C144" s="16"/>
      <c r="G144" s="40"/>
      <c r="W144" s="3"/>
      <c r="X144" s="171"/>
    </row>
    <row r="145" spans="1:24">
      <c r="A145" s="3" t="s">
        <v>2</v>
      </c>
      <c r="B145" s="16"/>
      <c r="C145" s="16"/>
      <c r="G145" s="40"/>
      <c r="W145" s="3"/>
      <c r="X145" s="171"/>
    </row>
    <row r="146" spans="1:24">
      <c r="A146" s="3" t="s">
        <v>2</v>
      </c>
      <c r="B146" s="16"/>
      <c r="C146" s="16"/>
      <c r="G146" s="40"/>
      <c r="W146" s="3"/>
      <c r="X146" s="171"/>
    </row>
    <row r="147" spans="1:24">
      <c r="A147" s="3" t="s">
        <v>2</v>
      </c>
      <c r="B147" s="16"/>
      <c r="C147" s="16"/>
      <c r="G147" s="40"/>
      <c r="W147" s="3"/>
      <c r="X147" s="171"/>
    </row>
    <row r="151" spans="1:24" ht="12" customHeight="1"/>
    <row r="152" spans="1:24" ht="12.75" customHeight="1"/>
    <row r="169" ht="12" customHeight="1"/>
    <row r="170" ht="12.75" customHeight="1"/>
    <row r="171" ht="12" customHeight="1"/>
    <row r="172" ht="12.75" customHeight="1"/>
    <row r="183" ht="12" customHeight="1"/>
    <row r="184" ht="12.75" customHeight="1"/>
    <row r="185" ht="12" customHeight="1"/>
    <row r="186" ht="12.75" customHeight="1"/>
    <row r="189" ht="12" customHeight="1"/>
    <row r="190" ht="12.75" customHeight="1"/>
    <row r="191" ht="12" customHeight="1"/>
    <row r="192" ht="12.75" customHeight="1"/>
    <row r="193" ht="12" customHeight="1"/>
    <row r="194" ht="12.75" customHeight="1"/>
    <row r="196" ht="12.75" customHeight="1"/>
    <row r="206" ht="12" customHeight="1"/>
    <row r="207" ht="12.75" customHeight="1"/>
    <row r="208" ht="12" customHeight="1"/>
    <row r="209" ht="12.75" customHeight="1"/>
    <row r="213" ht="12" customHeight="1"/>
    <row r="214" ht="12.75" customHeight="1"/>
    <row r="216" ht="12" customHeight="1"/>
    <row r="217" ht="12.75" customHeight="1"/>
  </sheetData>
  <sheetProtection autoFilter="0"/>
  <protectedRanges>
    <protectedRange password="EE42" sqref="J6 H6 H23:H29 W31:W34 H7:I8 W59 H74:J75 W65:W71 X66:X68 W55:W56 H76 J62 H84:J85 W62:W63 H95:J97 H62:I63 J93 I91:J92 W74:W75 H64:J66 H87:J90 B72:H73 B74:F76 J76 B84:F85 B22:G66 B95:F97 B67:J71 B87:F90 B81:H83 B105:F65541 B91:H94 I94:J94 W97:X97 B1:F21 F77 H105:J65541 W91:W94 W13:X13 H9:J22 H30:J61 H1:J5 W45:X45 X62 B77:E80 G77:J80 F79:F80 B104:D104" name="Range1"/>
    <protectedRange password="EE42" sqref="I6" name="Range1_1"/>
    <protectedRange password="EE42" sqref="J7:J8" name="Range1_2"/>
    <protectedRange password="EE42" sqref="B86:F86 H86:J86" name="Range1_3"/>
    <protectedRange password="EE42" sqref="B98:F98 H98:J98 B99:D103" name="Range1_4"/>
    <protectedRange password="EE42" sqref="G87:G97 G105:G65541 G1:G85" name="Range1_6"/>
    <protectedRange password="EE42" sqref="G98" name="Range1_4_1"/>
    <protectedRange password="EE42" sqref="A1:A2 A105:A65541 A6 A10 A14 A18 A22 A26 A30 A34 A38 A42 A46 A50 A54 A58 A62 A66 A70 A74 A78 A82 A86 A90 A94 A98:A103" name="Range1_7"/>
    <protectedRange password="EE42" sqref="V52 V22 V74:V75 V97 V67:V71 V91:V94 V62:V64 V59 V104 V55:V56 V31:V34 V44 V13 V36" name="Range1_5_1"/>
    <protectedRange password="EE42" sqref="T52 T22 T36 T97 T91:T94 T13 T59 T55:T57 T31:T34 T74:T75 T44:T45 T62:T71" name="Range1_7_1"/>
    <protectedRange password="EE42" sqref="U36 U97 U91:U94 U62:U63 U13 U59 U55:U57 U31:U34 U74:U75 U44:U45 U65:U71" name="Range1_7_2"/>
    <protectedRange password="EE42" sqref="E102:H104" name="Range1_5"/>
    <protectedRange password="EE42" sqref="E101:F101 H101" name="Range1_7_3"/>
    <protectedRange password="EE42" sqref="E99:F100 H99:H100" name="Range1_4_2"/>
    <protectedRange password="EE42" sqref="G101" name="Range1_6_1_1"/>
    <protectedRange password="EE42" sqref="G99:G100" name="Range1_4_1_2"/>
    <protectedRange password="EE42" sqref="I104" name="Range1_8"/>
    <protectedRange password="EE42" sqref="I101:I103" name="Range1_7_4"/>
    <protectedRange password="EE42" sqref="I99:I100" name="Range1_4_2_1"/>
    <protectedRange password="EE42" sqref="J104" name="Range1_9"/>
    <protectedRange password="EE42" sqref="J101:J103" name="Range1_7_5"/>
    <protectedRange password="EE42" sqref="J99:J100" name="Range1_4_2_2"/>
    <protectedRange password="EE42" sqref="T102:T104" name="Range1_7_6"/>
    <protectedRange password="EE42" sqref="U102:U104" name="Range1_7_7"/>
    <protectedRange password="EE42" sqref="N52 N22 N36:O36 N97:O97 N62:O63 N59:O59 N74:O75 N13:O13 N31:O34 N55:O56 N91:O95 N44:O44 N65:O71" name="Range1_10"/>
    <protectedRange password="EE42" sqref="N101:O103" name="Range1_7_8"/>
    <protectedRange password="EE42" sqref="N64:O64" name="Range1_9_1"/>
    <protectedRange password="EE42" sqref="N45" name="Range1_10_2_2_2"/>
    <protectedRange password="EE42" sqref="O45" name="Range1_10_2_2_4"/>
  </protectedRanges>
  <autoFilter ref="A1:X147" xr:uid="{00000000-0009-0000-0000-000009000000}"/>
  <dataValidations count="7">
    <dataValidation type="list" allowBlank="1" showInputMessage="1" showErrorMessage="1" sqref="I29" xr:uid="{35B13B82-9A37-4A21-A405-9EADFE585B23}">
      <formula1>#REF!</formula1>
    </dataValidation>
    <dataValidation type="list" allowBlank="1" showInputMessage="1" showErrorMessage="1" sqref="Z52" xr:uid="{C7BF02E4-A396-4FDA-A130-DD9D17BAFF22}">
      <formula1>$AB$52:$AC$52</formula1>
    </dataValidation>
    <dataValidation type="list" allowBlank="1" showInputMessage="1" showErrorMessage="1" sqref="Z64" xr:uid="{AED75914-8121-4273-AFCF-4D66D39EC82A}">
      <formula1>$AB$64:$AD$64</formula1>
    </dataValidation>
    <dataValidation type="list" allowBlank="1" showInputMessage="1" showErrorMessage="1" sqref="Z104" xr:uid="{E24F658D-B969-477B-888C-4B9A96811378}">
      <formula1>$AB$104:$AC$104</formula1>
    </dataValidation>
    <dataValidation type="list" allowBlank="1" showInputMessage="1" showErrorMessage="1" sqref="U64" xr:uid="{B12B139C-CA3C-416E-BCF2-A228C8033C2C}">
      <formula1>$Z$64:$AC$64</formula1>
    </dataValidation>
    <dataValidation type="list" allowBlank="1" showInputMessage="1" showErrorMessage="1" sqref="U52" xr:uid="{E86FE9F5-F5DC-4B3D-9AF1-C23C758AED2D}">
      <formula1>$Z$52:$AA$52</formula1>
    </dataValidation>
    <dataValidation type="list" allowBlank="1" showInputMessage="1" showErrorMessage="1" sqref="O52" xr:uid="{E76D874F-285A-4C27-80DD-8CEED77E9F3C}">
      <formula1>$U$52:$V$52</formula1>
    </dataValidation>
  </dataValidations>
  <printOptions horizontalCentered="1"/>
  <pageMargins left="0.25" right="0.25" top="0.5" bottom="0.5" header="0.3" footer="0.17"/>
  <pageSetup paperSize="5" scale="76" fitToHeight="22" orientation="landscape" horizontalDpi="300" verticalDpi="300" r:id="rId1"/>
  <headerFooter>
    <oddHeader>&amp;L&amp;"Arial,Regular"Refinitiv&amp;C&amp;"Arial,Regular"DIST Reverse Mapping &amp;A&amp;R&amp;"Arial,Regular"New Installations - Conversions</oddHeader>
    <oddFooter>&amp;L&amp;"Arial,Regular"&amp;8Confidential&amp;C&amp;"Arial,Regular"&amp;8&amp;D&amp;R&amp;"Arial,Regular"&amp;8Page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U31"/>
  <sheetViews>
    <sheetView zoomScaleNormal="100" workbookViewId="0">
      <selection activeCell="A4" sqref="A4:B4"/>
    </sheetView>
  </sheetViews>
  <sheetFormatPr defaultRowHeight="15"/>
  <cols>
    <col min="1" max="1" width="14.42578125" customWidth="1"/>
    <col min="2" max="2" width="13.140625" customWidth="1"/>
    <col min="3" max="3" width="12.7109375" customWidth="1"/>
    <col min="4" max="4" width="11.5703125" customWidth="1"/>
    <col min="5" max="5" width="23.28515625" customWidth="1"/>
  </cols>
  <sheetData>
    <row r="1" spans="1:21">
      <c r="A1" s="204" t="s">
        <v>603</v>
      </c>
      <c r="B1" s="204"/>
      <c r="C1" s="204"/>
    </row>
    <row r="2" spans="1:21" ht="24.75">
      <c r="A2" s="534" t="s">
        <v>604</v>
      </c>
      <c r="B2" s="535"/>
      <c r="C2" s="535"/>
      <c r="D2" s="535"/>
      <c r="E2" s="535"/>
      <c r="G2" s="180" t="s">
        <v>576</v>
      </c>
    </row>
    <row r="3" spans="1:21" ht="48.75">
      <c r="A3" s="194" t="s">
        <v>605</v>
      </c>
      <c r="B3" s="194" t="s">
        <v>606</v>
      </c>
      <c r="C3" s="195" t="s">
        <v>607</v>
      </c>
      <c r="D3" s="195" t="s">
        <v>608</v>
      </c>
      <c r="E3" s="195" t="s">
        <v>119</v>
      </c>
    </row>
    <row r="4" spans="1:21">
      <c r="A4" s="536" t="s">
        <v>609</v>
      </c>
      <c r="B4" s="537"/>
      <c r="C4" s="165" t="s">
        <v>610</v>
      </c>
      <c r="D4" s="39" t="s">
        <v>53</v>
      </c>
      <c r="E4" s="165"/>
    </row>
    <row r="5" spans="1:21">
      <c r="A5" s="165" t="s">
        <v>90</v>
      </c>
      <c r="B5" s="165"/>
      <c r="C5" s="197" t="s">
        <v>611</v>
      </c>
      <c r="D5" s="39" t="s">
        <v>54</v>
      </c>
      <c r="E5" s="165" t="s">
        <v>612</v>
      </c>
    </row>
    <row r="6" spans="1:21">
      <c r="A6" s="165" t="s">
        <v>94</v>
      </c>
      <c r="B6" s="165"/>
      <c r="C6" s="197" t="s">
        <v>613</v>
      </c>
      <c r="D6" s="39" t="s">
        <v>54</v>
      </c>
      <c r="E6" s="165" t="s">
        <v>614</v>
      </c>
      <c r="I6" s="502"/>
      <c r="J6" s="502"/>
      <c r="K6" s="502"/>
      <c r="L6" s="502"/>
      <c r="M6" s="502"/>
      <c r="N6" s="502"/>
      <c r="O6" s="502"/>
      <c r="P6" s="502"/>
      <c r="Q6" s="502"/>
      <c r="R6" s="502"/>
      <c r="S6" s="502"/>
      <c r="T6" s="502"/>
      <c r="U6" s="502"/>
    </row>
    <row r="7" spans="1:21">
      <c r="A7" s="165" t="s">
        <v>104</v>
      </c>
      <c r="B7" s="165" t="s">
        <v>56</v>
      </c>
      <c r="C7" s="197" t="s">
        <v>613</v>
      </c>
      <c r="D7" s="39" t="s">
        <v>54</v>
      </c>
      <c r="E7" s="165" t="s">
        <v>615</v>
      </c>
    </row>
    <row r="8" spans="1:21">
      <c r="A8" s="165" t="s">
        <v>104</v>
      </c>
      <c r="B8" s="165" t="s">
        <v>616</v>
      </c>
      <c r="C8" s="197" t="s">
        <v>611</v>
      </c>
      <c r="D8" s="39" t="s">
        <v>54</v>
      </c>
      <c r="E8" s="165" t="s">
        <v>615</v>
      </c>
    </row>
    <row r="9" spans="1:21">
      <c r="A9" s="165" t="s">
        <v>104</v>
      </c>
      <c r="B9" s="165" t="s">
        <v>62</v>
      </c>
      <c r="C9" s="197" t="s">
        <v>610</v>
      </c>
      <c r="D9" s="39" t="s">
        <v>54</v>
      </c>
      <c r="E9" s="165" t="s">
        <v>615</v>
      </c>
    </row>
    <row r="10" spans="1:21">
      <c r="A10" s="3"/>
      <c r="B10" s="3"/>
      <c r="C10" s="3"/>
      <c r="D10" s="16"/>
      <c r="E10" s="3"/>
    </row>
    <row r="11" spans="1:21">
      <c r="A11" s="204" t="s">
        <v>617</v>
      </c>
      <c r="B11" s="204"/>
      <c r="C11" s="204"/>
      <c r="D11" s="3"/>
      <c r="E11" s="3"/>
    </row>
    <row r="12" spans="1:21">
      <c r="A12" s="534" t="s">
        <v>604</v>
      </c>
      <c r="B12" s="535"/>
      <c r="C12" s="535"/>
      <c r="D12" s="535"/>
      <c r="E12" s="535"/>
    </row>
    <row r="13" spans="1:21" ht="48.75">
      <c r="A13" s="194" t="s">
        <v>605</v>
      </c>
      <c r="B13" s="194" t="s">
        <v>606</v>
      </c>
      <c r="C13" s="195" t="s">
        <v>607</v>
      </c>
      <c r="D13" s="195" t="s">
        <v>608</v>
      </c>
      <c r="E13" s="195" t="s">
        <v>119</v>
      </c>
    </row>
    <row r="14" spans="1:21">
      <c r="A14" s="536" t="s">
        <v>609</v>
      </c>
      <c r="B14" s="537"/>
      <c r="C14" s="165" t="s">
        <v>618</v>
      </c>
      <c r="D14" s="39" t="s">
        <v>53</v>
      </c>
      <c r="E14" s="165"/>
    </row>
    <row r="15" spans="1:21">
      <c r="A15" s="165" t="s">
        <v>92</v>
      </c>
      <c r="B15" s="165"/>
      <c r="C15" s="197" t="s">
        <v>619</v>
      </c>
      <c r="D15" s="39" t="s">
        <v>54</v>
      </c>
      <c r="E15" s="165" t="s">
        <v>620</v>
      </c>
    </row>
    <row r="16" spans="1:21">
      <c r="A16" s="165" t="s">
        <v>96</v>
      </c>
      <c r="B16" s="165"/>
      <c r="C16" s="205" t="s">
        <v>621</v>
      </c>
      <c r="D16" s="39" t="s">
        <v>54</v>
      </c>
      <c r="E16" s="165" t="s">
        <v>622</v>
      </c>
    </row>
    <row r="17" spans="1:5">
      <c r="A17" s="165" t="s">
        <v>98</v>
      </c>
      <c r="B17" s="165"/>
      <c r="C17" s="205" t="s">
        <v>621</v>
      </c>
      <c r="D17" s="39" t="s">
        <v>54</v>
      </c>
      <c r="E17" s="165" t="s">
        <v>622</v>
      </c>
    </row>
    <row r="18" spans="1:5">
      <c r="A18" s="165" t="s">
        <v>100</v>
      </c>
      <c r="B18" s="165"/>
      <c r="C18" s="197" t="s">
        <v>618</v>
      </c>
      <c r="D18" s="39" t="s">
        <v>54</v>
      </c>
      <c r="E18" s="165" t="s">
        <v>623</v>
      </c>
    </row>
    <row r="19" spans="1:5">
      <c r="A19" s="165" t="s">
        <v>102</v>
      </c>
      <c r="B19" s="165"/>
      <c r="C19" s="197" t="s">
        <v>619</v>
      </c>
      <c r="D19" s="39" t="s">
        <v>54</v>
      </c>
      <c r="E19" s="165" t="s">
        <v>624</v>
      </c>
    </row>
    <row r="20" spans="1:5">
      <c r="A20" s="165" t="s">
        <v>104</v>
      </c>
      <c r="B20" s="165"/>
      <c r="C20" s="197" t="s">
        <v>625</v>
      </c>
      <c r="D20" s="39" t="s">
        <v>54</v>
      </c>
      <c r="E20" s="165" t="s">
        <v>626</v>
      </c>
    </row>
    <row r="21" spans="1:5">
      <c r="A21" s="3"/>
      <c r="B21" s="3"/>
      <c r="C21" s="3"/>
      <c r="D21" s="3"/>
      <c r="E21" s="3"/>
    </row>
    <row r="22" spans="1:5">
      <c r="A22" s="3"/>
      <c r="B22" s="3"/>
      <c r="C22" s="3"/>
      <c r="D22" s="3"/>
      <c r="E22" s="3"/>
    </row>
    <row r="23" spans="1:5">
      <c r="A23" s="3" t="s">
        <v>627</v>
      </c>
      <c r="B23" s="3"/>
      <c r="C23" s="3"/>
      <c r="D23" s="3"/>
      <c r="E23" s="3"/>
    </row>
    <row r="24" spans="1:5">
      <c r="A24" s="3" t="s">
        <v>628</v>
      </c>
      <c r="B24" s="3"/>
      <c r="C24" s="3"/>
      <c r="D24" s="3"/>
      <c r="E24" s="3"/>
    </row>
    <row r="25" spans="1:5">
      <c r="A25" s="3" t="s">
        <v>629</v>
      </c>
      <c r="B25" s="3"/>
      <c r="C25" s="3"/>
      <c r="D25" s="3"/>
      <c r="E25" s="3"/>
    </row>
    <row r="26" spans="1:5">
      <c r="A26" s="3" t="s">
        <v>630</v>
      </c>
      <c r="B26" s="3"/>
      <c r="C26" s="3"/>
      <c r="D26" s="3"/>
      <c r="E26" s="3"/>
    </row>
    <row r="27" spans="1:5">
      <c r="A27" s="3" t="s">
        <v>631</v>
      </c>
      <c r="B27" s="3"/>
      <c r="C27" s="3"/>
      <c r="D27" s="3"/>
      <c r="E27" s="3"/>
    </row>
    <row r="28" spans="1:5">
      <c r="A28" s="3" t="s">
        <v>632</v>
      </c>
      <c r="B28" s="3"/>
      <c r="C28" s="3"/>
      <c r="D28" s="3"/>
      <c r="E28" s="3"/>
    </row>
    <row r="29" spans="1:5">
      <c r="A29" s="3" t="s">
        <v>633</v>
      </c>
      <c r="B29" s="3"/>
      <c r="C29" s="3"/>
      <c r="D29" s="3"/>
      <c r="E29" s="3"/>
    </row>
    <row r="31" spans="1:5">
      <c r="A31" s="3" t="s">
        <v>634</v>
      </c>
      <c r="B31" s="83"/>
      <c r="C31" s="83"/>
      <c r="D31" s="83"/>
      <c r="E31" s="83"/>
    </row>
  </sheetData>
  <mergeCells count="4">
    <mergeCell ref="A2:E2"/>
    <mergeCell ref="A4:B4"/>
    <mergeCell ref="A12:E12"/>
    <mergeCell ref="A14:B14"/>
  </mergeCells>
  <hyperlinks>
    <hyperlink ref="G2" location="MAPPING!A1" display="Return to Mapping" xr:uid="{00000000-0004-0000-0700-000000000000}"/>
  </hyperlinks>
  <pageMargins left="0.7" right="0.7" top="0.75" bottom="0.75" header="0.3" footer="0.3"/>
  <pageSetup orientation="portrait" r:id="rId1"/>
  <headerFooter>
    <oddHeader>&amp;LRefinitiv&amp;CReverse Mapping&amp;RNew Installations - Conversions</oddHeader>
    <oddFooter>&amp;LConfidential&amp;C&amp;D&amp;RPage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E32"/>
  <sheetViews>
    <sheetView zoomScaleNormal="100" workbookViewId="0">
      <selection activeCell="E32" sqref="E32"/>
    </sheetView>
  </sheetViews>
  <sheetFormatPr defaultRowHeight="15"/>
  <cols>
    <col min="1" max="1" width="21" customWidth="1"/>
    <col min="2" max="2" width="23.85546875" bestFit="1" customWidth="1"/>
    <col min="3" max="3" width="15.7109375" customWidth="1"/>
    <col min="4" max="5" width="17" customWidth="1"/>
  </cols>
  <sheetData>
    <row r="1" spans="1:4" ht="24.75">
      <c r="A1" s="195" t="s">
        <v>635</v>
      </c>
      <c r="B1" s="195" t="s">
        <v>636</v>
      </c>
      <c r="C1" s="195" t="s">
        <v>608</v>
      </c>
      <c r="D1" s="195" t="s">
        <v>119</v>
      </c>
    </row>
    <row r="2" spans="1:4">
      <c r="A2" s="130" t="s">
        <v>609</v>
      </c>
      <c r="B2" s="198" t="s">
        <v>637</v>
      </c>
      <c r="C2" s="130"/>
      <c r="D2" s="130"/>
    </row>
    <row r="3" spans="1:4">
      <c r="A3" s="39" t="s">
        <v>60</v>
      </c>
      <c r="B3" s="165" t="s">
        <v>638</v>
      </c>
      <c r="C3" s="39"/>
      <c r="D3" s="165"/>
    </row>
    <row r="4" spans="1:4">
      <c r="A4" s="39" t="s">
        <v>68</v>
      </c>
      <c r="B4" s="165" t="s">
        <v>639</v>
      </c>
      <c r="C4" s="39"/>
      <c r="D4" s="165"/>
    </row>
    <row r="5" spans="1:4">
      <c r="A5" s="39" t="s">
        <v>586</v>
      </c>
      <c r="B5" s="165" t="s">
        <v>640</v>
      </c>
      <c r="C5" s="39"/>
      <c r="D5" s="165"/>
    </row>
    <row r="6" spans="1:4">
      <c r="A6" s="199" t="s">
        <v>64</v>
      </c>
      <c r="B6" s="196" t="s">
        <v>641</v>
      </c>
      <c r="C6" s="39"/>
      <c r="D6" s="165"/>
    </row>
    <row r="7" spans="1:4">
      <c r="A7" s="39" t="s">
        <v>642</v>
      </c>
      <c r="B7" s="165" t="s">
        <v>643</v>
      </c>
      <c r="C7" s="39"/>
      <c r="D7" s="165"/>
    </row>
    <row r="8" spans="1:4">
      <c r="A8" s="39" t="s">
        <v>62</v>
      </c>
      <c r="B8" s="165" t="s">
        <v>644</v>
      </c>
      <c r="C8" s="39"/>
      <c r="D8" s="165"/>
    </row>
    <row r="9" spans="1:4">
      <c r="A9" s="39" t="s">
        <v>83</v>
      </c>
      <c r="B9" s="165" t="s">
        <v>638</v>
      </c>
      <c r="C9" s="39"/>
      <c r="D9" s="165"/>
    </row>
    <row r="32" spans="5:5">
      <c r="E32" t="s">
        <v>2</v>
      </c>
    </row>
  </sheetData>
  <pageMargins left="0.7" right="0.7" top="0.75" bottom="0.75" header="0.3" footer="0.3"/>
  <pageSetup orientation="portrait" r:id="rId1"/>
  <headerFooter>
    <oddHeader>&amp;LRefinitiv&amp;CDIST Reverse Mapping &amp;A&amp;RNew Installations - Conversions</oddHeader>
    <oddFooter>&amp;LConfidential&amp;C&amp;D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79B62F-035A-4A7B-A965-A1593CF9D229}">
  <ds:schemaRefs>
    <ds:schemaRef ds:uri="http://schemas.microsoft.com/office/2006/documentManagement/types"/>
    <ds:schemaRef ds:uri="http://purl.org/dc/elements/1.1/"/>
    <ds:schemaRef ds:uri="http://schemas.microsoft.com/office/infopath/2007/PartnerControls"/>
    <ds:schemaRef ds:uri="e85c2c2a-e6cc-4846-86fa-d319c4bb3bfb"/>
    <ds:schemaRef ds:uri="http://www.w3.org/XML/1998/namespace"/>
    <ds:schemaRef ds:uri="http://schemas.openxmlformats.org/package/2006/metadata/core-properties"/>
    <ds:schemaRef ds:uri="http://purl.org/dc/terms/"/>
    <ds:schemaRef ds:uri="b2dbde3b-126d-4786-9776-87cdafcd6f93"/>
    <ds:schemaRef ds:uri="http://schemas.microsoft.com/sharepoint/v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37D1CAA-F759-4083-B685-1FDC16EDF717}">
  <ds:schemaRefs>
    <ds:schemaRef ds:uri="http://schemas.microsoft.com/sharepoint/v3/contenttype/forms"/>
  </ds:schemaRefs>
</ds:datastoreItem>
</file>

<file path=customXml/itemProps3.xml><?xml version="1.0" encoding="utf-8"?>
<ds:datastoreItem xmlns:ds="http://schemas.openxmlformats.org/officeDocument/2006/customXml" ds:itemID="{91630137-776A-480F-90ED-75412D00C50F}">
  <ds:schemaRefs>
    <ds:schemaRef ds:uri="http://schemas.microsoft.com/office/2006/metadata/longProperties"/>
  </ds:schemaRefs>
</ds:datastoreItem>
</file>

<file path=customXml/itemProps4.xml><?xml version="1.0" encoding="utf-8"?>
<ds:datastoreItem xmlns:ds="http://schemas.openxmlformats.org/officeDocument/2006/customXml" ds:itemID="{967A2011-5179-4213-BD24-A4D8E17A7CA2}"/>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COVER PAGE</vt:lpstr>
      <vt:lpstr>UPDATES</vt:lpstr>
      <vt:lpstr>NI CLIENT NOTES</vt:lpstr>
      <vt:lpstr>INCLUSION CRITERION</vt:lpstr>
      <vt:lpstr>MAPPING</vt:lpstr>
      <vt:lpstr>FREQ BEGIN</vt:lpstr>
      <vt:lpstr>PREVIOUS MAPPING</vt:lpstr>
      <vt:lpstr>SOURCE</vt:lpstr>
      <vt:lpstr>DESC</vt:lpstr>
      <vt:lpstr>UPDATES!OLE_LINK5</vt:lpstr>
      <vt:lpstr>'FREQ BEGIN'!Print_Area</vt:lpstr>
      <vt:lpstr>'INCLUSION CRITERION'!Print_Area</vt:lpstr>
      <vt:lpstr>MAPPING!Print_Area</vt:lpstr>
      <vt:lpstr>'PREVIOUS MAPPING'!Print_Area</vt:lpstr>
      <vt:lpstr>SOURCE!Print_Area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 - NFS MASTER</dc:title>
  <dc:subject/>
  <dc:creator>Michael Hoyt</dc:creator>
  <cp:keywords/>
  <dc:description/>
  <cp:lastModifiedBy>Sandra Bennett</cp:lastModifiedBy>
  <cp:revision/>
  <dcterms:created xsi:type="dcterms:W3CDTF">2013-07-31T19:09:17Z</dcterms:created>
  <dcterms:modified xsi:type="dcterms:W3CDTF">2025-04-29T15:31:46Z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 I.</vt:lpwstr>
  </property>
  <property fmtid="{D5CDD505-2E9C-101B-9397-08002B2CF9AE}" pid="7" name="xd_Signature">
    <vt:lpwstr/>
  </property>
  <property fmtid="{D5CDD505-2E9C-101B-9397-08002B2CF9AE}" pid="8" name="Order">
    <vt:lpwstr>205500.000000000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 I.</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2024-01-17T20:55:05Z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910434c7-4f14-4265-82f5-637a5be8565b</vt:lpwstr>
  </property>
  <property fmtid="{D5CDD505-2E9C-101B-9397-08002B2CF9AE}" pid="20" name="MSIP_Label_defa4170-0d19-0005-0004-bc88714345d2_ContentBits">
    <vt:lpwstr>0</vt:lpwstr>
  </property>
  <property fmtid="{D5CDD505-2E9C-101B-9397-08002B2CF9AE}" pid="21" name="MediaServiceImageTags">
    <vt:lpwstr/>
  </property>
</Properties>
</file>