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fileSharing readOnlyRecommended="1"/>
  <workbookPr defaultThemeVersion="124226"/>
  <mc:AlternateContent xmlns:mc="http://schemas.openxmlformats.org/markup-compatibility/2006">
    <mc:Choice Requires="x15">
      <x15ac:absPath xmlns:x15ac="http://schemas.microsoft.com/office/spreadsheetml/2010/11/ac" url="S:\CONV\FDC- Mergers-Acquisitions\FDC Conversion Projects\2022 Open Conversions\LPL - Great Western Bank (Raymond James) WR NHR SB 07.23.22\Mapping\"/>
    </mc:Choice>
  </mc:AlternateContent>
  <xr:revisionPtr revIDLastSave="0" documentId="13_ncr:1_{20FF3E51-CBFD-4A94-A535-5A9364A550D1}" xr6:coauthVersionLast="47" xr6:coauthVersionMax="47" xr10:uidLastSave="{00000000-0000-0000-0000-000000000000}"/>
  <bookViews>
    <workbookView xWindow="28680" yWindow="-120" windowWidth="29040" windowHeight="15840" xr2:uid="{00000000-000D-0000-FFFF-FFFF00000000}"/>
  </bookViews>
  <sheets>
    <sheet name="COVER PAGE" sheetId="1" r:id="rId1"/>
    <sheet name="PURGE CRITERIA" sheetId="12" r:id="rId2"/>
    <sheet name="UPDATES" sheetId="5" r:id="rId3"/>
    <sheet name="NI CLIENT NOTES" sheetId="7" r:id="rId4"/>
    <sheet name="MAPPING" sheetId="4" r:id="rId5"/>
    <sheet name="TABLE A" sheetId="16" r:id="rId6"/>
    <sheet name="PREVIOUS MAPPING" sheetId="15" r:id="rId7"/>
  </sheets>
  <externalReferences>
    <externalReference r:id="rId8"/>
  </externalReferences>
  <definedNames>
    <definedName name="_xlnm._FilterDatabase" localSheetId="4" hidden="1">MAPPING!$A$1:$W$142</definedName>
    <definedName name="_xlnm._FilterDatabase" localSheetId="6" hidden="1">'PREVIOUS MAPPING'!$A$1:$L$138</definedName>
    <definedName name="conv" localSheetId="6">#REF!</definedName>
    <definedName name="conv">#REF!</definedName>
    <definedName name="convert" localSheetId="6">'[1]Broadridge - Options'!#REF!</definedName>
    <definedName name="convert">'[1]Broadridge - Options'!#REF!</definedName>
    <definedName name="OLE_LINK5" localSheetId="2">UPDATES!$D$5</definedName>
    <definedName name="_xlnm.Print_Area" localSheetId="0">'COVER PAGE'!$A$1:$C$30</definedName>
    <definedName name="_xlnm.Print_Area" localSheetId="4">MAPPING!$A$1:$N$132</definedName>
    <definedName name="_xlnm.Print_Area" localSheetId="6">'PREVIOUS MAPPING'!$A$1:$I$128</definedName>
    <definedName name="_xlnm.Print_Area" localSheetId="2">UPDATES!$A$1:$D$35</definedName>
    <definedName name="_xlnm.Print_Titles" localSheetId="4">MAPPING!$1:$1</definedName>
    <definedName name="_xlnm.Print_Titles" localSheetId="6">'PREVIOUS MAPPING'!$1:$1</definedName>
    <definedName name="Z_02280CA5_0044_4FC6_97AF_494789BF2E49_.wvu.PrintTitles" localSheetId="2" hidden="1">UPDATES!$A$1:$IR$1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1" l="1"/>
  <c r="A24" i="1"/>
</calcChain>
</file>

<file path=xl/sharedStrings.xml><?xml version="1.0" encoding="utf-8"?>
<sst xmlns="http://schemas.openxmlformats.org/spreadsheetml/2006/main" count="2093" uniqueCount="565">
  <si>
    <t>Created:</t>
  </si>
  <si>
    <t>Updated:</t>
  </si>
  <si>
    <t>Firm Number:</t>
  </si>
  <si>
    <t>Sub Number:</t>
  </si>
  <si>
    <t>Primary BETA Contact:</t>
  </si>
  <si>
    <t>Primary CLIENT Contact:</t>
  </si>
  <si>
    <t xml:space="preserve">Copybook: </t>
  </si>
  <si>
    <t>Change Date</t>
  </si>
  <si>
    <t>BETA Remedy Task #</t>
  </si>
  <si>
    <t>Begin</t>
  </si>
  <si>
    <t>PIC</t>
  </si>
  <si>
    <t>BETA Description</t>
  </si>
  <si>
    <t>Pershing Field Name</t>
  </si>
  <si>
    <t>SRC</t>
  </si>
  <si>
    <t>R</t>
  </si>
  <si>
    <t>G</t>
  </si>
  <si>
    <t xml:space="preserve"> </t>
  </si>
  <si>
    <t>O</t>
  </si>
  <si>
    <t>X(4)</t>
  </si>
  <si>
    <t>X(30)</t>
  </si>
  <si>
    <t>FILLER</t>
  </si>
  <si>
    <t>DATE</t>
  </si>
  <si>
    <t xml:space="preserve">Remedy Task </t>
  </si>
  <si>
    <t>NI</t>
  </si>
  <si>
    <t>UPDATES</t>
  </si>
  <si>
    <t>X(12)</t>
  </si>
  <si>
    <t>Old Account prefix:</t>
  </si>
  <si>
    <t xml:space="preserve">Input File(s): </t>
  </si>
  <si>
    <t>Internal Use Only:</t>
  </si>
  <si>
    <t>Test region:</t>
  </si>
  <si>
    <t>Production Region:</t>
  </si>
  <si>
    <t>Test Series:</t>
  </si>
  <si>
    <t>Production Series:</t>
  </si>
  <si>
    <t>Adds After File(s)</t>
  </si>
  <si>
    <t>Copybook:</t>
  </si>
  <si>
    <t>(test)</t>
  </si>
  <si>
    <t>(prod)</t>
  </si>
  <si>
    <t>T</t>
  </si>
  <si>
    <t>1. Initialize to low values</t>
  </si>
  <si>
    <t>BETA Only Notes</t>
  </si>
  <si>
    <t>Client Change Requests</t>
  </si>
  <si>
    <t>Client Only Notes</t>
  </si>
  <si>
    <t>CDC-ACCT</t>
  </si>
  <si>
    <t>CDC-TAX-ID</t>
  </si>
  <si>
    <t>CDC-ACCT-TYPE</t>
  </si>
  <si>
    <t>CDC-CRNCY-SEQNO</t>
  </si>
  <si>
    <t>CDC-IRS-CATEGORY</t>
  </si>
  <si>
    <t>CDC-FREQUENCY</t>
  </si>
  <si>
    <t>CDC-STATUS</t>
  </si>
  <si>
    <t>CDC-END-CYMD</t>
  </si>
  <si>
    <t>CDC-DISTRIBUTION-AMT</t>
  </si>
  <si>
    <t>CDC-ALT-NALINE-1</t>
  </si>
  <si>
    <t>CDC-ALT-NALINE-2</t>
  </si>
  <si>
    <t>CDC-ALT-NALINE-3</t>
  </si>
  <si>
    <t>CDC-ALT-NALINE-4</t>
  </si>
  <si>
    <t>CDC-ALT-NALINE-5</t>
  </si>
  <si>
    <t>CDC-ALT-NALINE-6</t>
  </si>
  <si>
    <t>CDC-DESC-1</t>
  </si>
  <si>
    <t>CDC-DESC-2</t>
  </si>
  <si>
    <t>CDC-ORIGIN-ID</t>
  </si>
  <si>
    <t>CDC-EXTERNAL-RID</t>
  </si>
  <si>
    <t>CDC-RMD-IND</t>
  </si>
  <si>
    <t>CDC-ADD-CYMD</t>
  </si>
  <si>
    <t>CDC-UPDATE-VYMD</t>
  </si>
  <si>
    <t>CDC-UPDATE-WHO</t>
  </si>
  <si>
    <t>CDC-UPDATE-TERMINAL</t>
  </si>
  <si>
    <t>CDC-VARIABLE-AMT</t>
  </si>
  <si>
    <t>CDC-MARITAL-STAT</t>
  </si>
  <si>
    <t>CDC-STATE-CODE</t>
  </si>
  <si>
    <t>CDC-DIV-CODE</t>
  </si>
  <si>
    <t>CDC-JNL-ACCT</t>
  </si>
  <si>
    <t>CDC-INT-CODE</t>
  </si>
  <si>
    <t>CDC-OTHER-INCOME</t>
  </si>
  <si>
    <t>CDC-FREE-CREDIT</t>
  </si>
  <si>
    <t>CDC-CAP-GAINS</t>
  </si>
  <si>
    <t>CDC-PROCESS-CYMD</t>
  </si>
  <si>
    <t>CDC-JNL-ACCTTYPE</t>
  </si>
  <si>
    <t>CDC-JNL-SOURCE</t>
  </si>
  <si>
    <t>CDC-VAR-CYMD</t>
  </si>
  <si>
    <t>CDC-PRIN</t>
  </si>
  <si>
    <t>CDC-ROC</t>
  </si>
  <si>
    <t>CDC-PDST</t>
  </si>
  <si>
    <t>CDC-ROP</t>
  </si>
  <si>
    <t>CDC-LIQ</t>
  </si>
  <si>
    <t>CDC-DDIV</t>
  </si>
  <si>
    <t>CDC-MMF-BAL</t>
  </si>
  <si>
    <t>CDC-NUM-NAMLINES</t>
  </si>
  <si>
    <t>CDC-ACH-ABA</t>
  </si>
  <si>
    <t>CDC-ACH-ACT</t>
  </si>
  <si>
    <t>CDC-ACH-CHK-SAV</t>
  </si>
  <si>
    <t>CDC-ACH-CUST-NAME</t>
  </si>
  <si>
    <t>CDC-ACH-MAIL-ADVISE</t>
  </si>
  <si>
    <t>CDC-ACH-PRENOTE-CYMD</t>
  </si>
  <si>
    <t>CDC-ACH-LIVE-CYMD</t>
  </si>
  <si>
    <t>CDC-TAXID-FORMAT</t>
  </si>
  <si>
    <t>CDC-ACH-TRANS-NO</t>
  </si>
  <si>
    <t>CDC-CINTR</t>
  </si>
  <si>
    <t>CDC-CHECK-STATUS-IND</t>
  </si>
  <si>
    <t>CDC-MAT</t>
  </si>
  <si>
    <t>CDC-UPDATE-SOURCE</t>
  </si>
  <si>
    <t>CDC-ST-MARITAL-STAT</t>
  </si>
  <si>
    <t>CDC-ACH-PRENOTE-KEY</t>
  </si>
  <si>
    <t>CDC-ACH-PRENOTE-FIRM</t>
  </si>
  <si>
    <t>CDC-ACH-PRENOTE-ACCT</t>
  </si>
  <si>
    <t xml:space="preserve">CDC-MMF-DIV
</t>
  </si>
  <si>
    <t>DIST Field Name</t>
  </si>
  <si>
    <t>X(5)</t>
  </si>
  <si>
    <t>X(2)</t>
  </si>
  <si>
    <t>X</t>
  </si>
  <si>
    <t>X(24)</t>
  </si>
  <si>
    <t>X(80)</t>
  </si>
  <si>
    <t>X(1)</t>
  </si>
  <si>
    <t>X(3)</t>
  </si>
  <si>
    <t>X(17)</t>
  </si>
  <si>
    <t>X(22)</t>
  </si>
  <si>
    <t>X(8)</t>
  </si>
  <si>
    <t>GRP</t>
  </si>
  <si>
    <t>9(9)
COMP-3</t>
  </si>
  <si>
    <t>Currency sequence number                                       (defaults to US dollars)</t>
  </si>
  <si>
    <t>End date. No checks are cut after this date.</t>
  </si>
  <si>
    <t>Suggested fixed dollar amount for checks.</t>
  </si>
  <si>
    <t>(Not currently used)</t>
  </si>
  <si>
    <t>Up to 6 lines of alternate name &amp; Address information</t>
  </si>
  <si>
    <t>Firm-defined type of check to be printed.</t>
  </si>
  <si>
    <t>Date on which distribution record was added to DIST</t>
  </si>
  <si>
    <t>Date on which last change was made to the distribution record</t>
  </si>
  <si>
    <t>BETA account type of the "journal to" account number</t>
  </si>
  <si>
    <t>Source code to be used on the credit entry to the "journal to" account number                                                    (Usually 'JNL' for money, 'JRL' for stocks)</t>
  </si>
  <si>
    <t>Customer's checking or savings account number at the bank.</t>
  </si>
  <si>
    <t>Customer name as it will appear on screen and reports</t>
  </si>
  <si>
    <t>Date that prenotification was sent.</t>
  </si>
  <si>
    <t>Date that live transmission may begin.</t>
  </si>
  <si>
    <t xml:space="preserve">RACF userid.  Normally system-generated.  </t>
  </si>
  <si>
    <t>Firm number on the distribution record</t>
  </si>
  <si>
    <t>Account number on the distribution record</t>
  </si>
  <si>
    <t>BETA Account Number</t>
  </si>
  <si>
    <t>Social Security number or Tax ID</t>
  </si>
  <si>
    <t xml:space="preserve">Check trailer. Prints as the first line of description for retail accounts and the second line of description for retirement accounts.
</t>
  </si>
  <si>
    <t xml:space="preserve">Initials of person who made the last change to the distribution record
</t>
  </si>
  <si>
    <t xml:space="preserve">Terminal ID where the last change was made to thedistribution record.
</t>
  </si>
  <si>
    <t xml:space="preserve">Other income indicator                                              X = Income generated with source codes other than the usual dividend and interest codes will either be added to dividend/interest balanceon CLED or the VAR-AMT field on DIST and paid out according to the FREQ  field  on DIST.
</t>
  </si>
  <si>
    <t xml:space="preserve">Number of lines of name-only information in both the CUSTOMER NAME/ADDRESS and ALTERNATE NAME/ADDRESS fields.
</t>
  </si>
  <si>
    <t xml:space="preserve">BETA Account type code.    
Valid values:
0-Pending distribution.
1-Cash account.
2-Margin account.
3-TEFRA withholding buffer account.
4-When-issued cash account.
5-Firm-specified.
6-Short margin account.
7-Firm-defined.
8-Firm-defined.
9-Firm-defined.
</t>
  </si>
  <si>
    <t xml:space="preserve">Source code.                                       Values: 
IRAS: any valid 'PECO'
Retail: CCHK or ACH
</t>
  </si>
  <si>
    <t xml:space="preserve">IRS reason code to be included on the 1099R form for reporting distributions to the IRS for certain PECO source codes.
&gt;&gt; For IRA accounts only                                        Values:
IRAS: BETA will pull from PECO using code from CVCDC-SOURCE above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</si>
  <si>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</si>
  <si>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</si>
  <si>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Begin date and cycle date for checks.
If CDC-FREQUENCY is equal to ‘E’ (semi-monthly) the CDC-BEGIN-CYMD field cannot be greater than the 15th of the month.
If CDC-FREQUENCY is equal to ‘L’ (Last Business Day), this field should be left blank.</t>
  </si>
  <si>
    <t>FARM/Parameter Dependencies:</t>
  </si>
  <si>
    <t>FARM DIST</t>
  </si>
  <si>
    <t xml:space="preserve">Percentage rate (based on the gross amount) of federal income tax to be deducted.
</t>
  </si>
  <si>
    <t xml:space="preserve">Flat dollar amount of federal tax to be deducted.
</t>
  </si>
  <si>
    <t xml:space="preserve">Percentage rate (based on the gross amount) of state income tax to be deducted.
</t>
  </si>
  <si>
    <t xml:space="preserve">Flat dollar amount of state tax to be deducted.
</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</si>
  <si>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</si>
  <si>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 xml:space="preserve">CDC-CHECK-TYPE
</t>
  </si>
  <si>
    <t>CT</t>
  </si>
  <si>
    <t>Marital status to be used only if tax is to be withheld based upon the IRS withholding tables.
(Not currently used)
Valid values:
M- Married
S- Single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</si>
  <si>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</si>
  <si>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"Journal to" account number = Old (original) account number.
 Rather than generating a check, money will be journaled to this alternate account.</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</si>
  <si>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</si>
  <si>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Free credit balance indicator                                               
X = Check should be cut for entire free credit balance amount.
Blank = AMOUNT field will be used to determine the amount of the check.</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</si>
  <si>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</si>
  <si>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</si>
  <si>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</si>
  <si>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</si>
  <si>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</si>
  <si>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</si>
  <si>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Money market fund interest indicator.
(Not currently used)                                                              
</t>
  </si>
  <si>
    <t>Money market fund balance indicator                                                                       
X = Entire money market fund balance will either be added to dividend/interest balance on CLED or the VAR-AMT field on DIST and paid out according to the FREQ  field  on DIST</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</si>
  <si>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</si>
  <si>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Bank account type indicator 
Valid values:                                               
C- Checking 
S- Savings
Valid values:                                               0 or C- Checking</t>
  </si>
  <si>
    <t xml:space="preserve">Tax identification number format
Valid values:
blank - SSN
X = EIN       
</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</si>
  <si>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</si>
  <si>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 xml:space="preserve">Maturity.
Valid values:
Blank- Do not capture the principle payments on maturing securities.
R = Capture for tonight's processing, from the real time system.
X = Capture for the next processing cycle.
</t>
  </si>
  <si>
    <t xml:space="preserve">‘DIST’ -- online entry/update
‘BLSERVER’ -- BLSERVER entry/update
</t>
  </si>
  <si>
    <t xml:space="preserve">CDC-BEGIN-DD2
</t>
  </si>
  <si>
    <t>CYCLE-DATE</t>
  </si>
  <si>
    <t>FARM CASH</t>
  </si>
  <si>
    <t xml:space="preserve">Customer bank's ACH identification number for transmissions.                                             
</t>
  </si>
  <si>
    <t>FARM CASH - VERIFY ACH INSTR</t>
  </si>
  <si>
    <t>ABAM</t>
  </si>
  <si>
    <t>FEES</t>
  </si>
  <si>
    <t>FARM CLED</t>
  </si>
  <si>
    <t>Automatically updated if WRAP PRM2 - SUSPEND PERIODIC DIST = Y</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</si>
  <si>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</si>
  <si>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WRAP PRM2</t>
  </si>
  <si>
    <t>FARM/Parameter's reviewed:</t>
  </si>
  <si>
    <t>ACCT</t>
  </si>
  <si>
    <t>SSNO</t>
  </si>
  <si>
    <t xml:space="preserve">CDC-SOURCE
</t>
  </si>
  <si>
    <t xml:space="preserve">SOURCE
</t>
  </si>
  <si>
    <t>IRS-CAT</t>
  </si>
  <si>
    <t>FREQ</t>
  </si>
  <si>
    <t>FROZ</t>
  </si>
  <si>
    <t xml:space="preserve">CDC-BEGIN-CYMD
</t>
  </si>
  <si>
    <t>END</t>
  </si>
  <si>
    <t>AMOUNT</t>
  </si>
  <si>
    <t>F/W</t>
  </si>
  <si>
    <t>F/W PCT</t>
  </si>
  <si>
    <t>F/W AMT</t>
  </si>
  <si>
    <t>F/W 
FED-ALLOW</t>
  </si>
  <si>
    <t>S/W</t>
  </si>
  <si>
    <t>S/W PCT</t>
  </si>
  <si>
    <t>S/W AMT</t>
  </si>
  <si>
    <t>ALTERNATE NAME/ ADDRESS</t>
  </si>
  <si>
    <t>TRAILER</t>
  </si>
  <si>
    <t xml:space="preserve">Free-form text that will be sent on the ACH file as addendum information to the receiving institution. 
Free-form text that will be sent on the ACH file as addendum information to the receiving institution.
</t>
  </si>
  <si>
    <t>TOP</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</si>
  <si>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</si>
  <si>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NOTE: Required if CDC-ABA field is populated</t>
  </si>
  <si>
    <t>RMD</t>
  </si>
  <si>
    <t>ODO-AMT</t>
  </si>
  <si>
    <t>UPDATED</t>
  </si>
  <si>
    <t>WHO</t>
  </si>
  <si>
    <t>TERM</t>
  </si>
  <si>
    <t>MARITAL-STAT</t>
  </si>
  <si>
    <t>STATE</t>
  </si>
  <si>
    <t>DIV</t>
  </si>
  <si>
    <t>JNL TO A/C</t>
  </si>
  <si>
    <t>INT</t>
  </si>
  <si>
    <t>OTHER</t>
  </si>
  <si>
    <t>FC-BAL</t>
  </si>
  <si>
    <t>CAP</t>
  </si>
  <si>
    <t>TYPE</t>
  </si>
  <si>
    <t>PRIN</t>
  </si>
  <si>
    <t>ROC</t>
  </si>
  <si>
    <t>PDST</t>
  </si>
  <si>
    <t>ROP</t>
  </si>
  <si>
    <t>LIQ</t>
  </si>
  <si>
    <t>DDIV</t>
  </si>
  <si>
    <t>MM-INT</t>
  </si>
  <si>
    <t>MM-BAL</t>
  </si>
  <si>
    <t>NAMELINES</t>
  </si>
  <si>
    <t>ABA#</t>
  </si>
  <si>
    <t>ACT#</t>
  </si>
  <si>
    <t>CHK/SAV</t>
  </si>
  <si>
    <t xml:space="preserve">NAME </t>
  </si>
  <si>
    <t>MAIL ADVICE</t>
  </si>
  <si>
    <t>PRENOTE</t>
  </si>
  <si>
    <t>LIVE</t>
  </si>
  <si>
    <t>TID</t>
  </si>
  <si>
    <t>TRN#</t>
  </si>
  <si>
    <t>CINT</t>
  </si>
  <si>
    <t>MAT</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</si>
  <si>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</si>
  <si>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</si>
  <si>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</si>
  <si>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r>
      <t xml:space="preserve">TOB 
</t>
    </r>
    <r>
      <rPr>
        <b/>
        <i/>
        <sz val="9"/>
        <color indexed="8"/>
        <rFont val="Arial"/>
        <family val="2"/>
      </rPr>
      <t>(ACH INFORMATION)</t>
    </r>
  </si>
  <si>
    <t>1. Generated</t>
  </si>
  <si>
    <t>FIXED/ VARIABLE/ BOTH</t>
  </si>
  <si>
    <t>B</t>
  </si>
  <si>
    <t>F</t>
  </si>
  <si>
    <t>IRA ONLY</t>
  </si>
  <si>
    <t>Required for Retail accounts, Optional for IRA</t>
  </si>
  <si>
    <t>Variable Mapping Instructions for Programmer</t>
  </si>
  <si>
    <t>Fixed Mapping Instructions for Programmer</t>
  </si>
  <si>
    <t>V</t>
  </si>
  <si>
    <t xml:space="preserve">Number of federal allowances claimed by the customer
(not currently used)
</t>
  </si>
  <si>
    <t xml:space="preserve">Number of state allowances claimed by the customer.
(not currently used)
</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</si>
  <si>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</si>
  <si>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IRA ONLY
MDRO conversion is a contingency else the RMD-IND field must be set to low values</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</si>
  <si>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</si>
  <si>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IRA ONLY
FARM IRAT - STATE ROUND UP</t>
  </si>
  <si>
    <t>IRA ONLY
SILO</t>
  </si>
  <si>
    <t xml:space="preserve">State code for the customer's legal state of residence for state income tax withholding.  Pulled from STATE field on ACCT.
</t>
  </si>
  <si>
    <t>Fixed - Option #1</t>
  </si>
  <si>
    <t>Fixed - Option #2</t>
  </si>
  <si>
    <t>Variable - Option #1</t>
  </si>
  <si>
    <t>Variable - Option #2</t>
  </si>
  <si>
    <t>Required if CDC-FREQUENCY = E.  
'DAY' must be greater than the 'day' in CDC-BEGIN-CYMD (beg 29)</t>
  </si>
  <si>
    <t>PER-AMP-MPI-PAM-FREQ (col 2728-2729)</t>
  </si>
  <si>
    <t>PER-AMP-MPI-ACCT-NUM (col 2201-2209)</t>
  </si>
  <si>
    <t>PER-AMP-MPI-PAM-1ST-PAY (col 2730-2739)</t>
  </si>
  <si>
    <t xml:space="preserve">PER-AMP-MSP-INSTX-TYPE (col 3-4) 
PER-AMP-MPI-PAM-LST-PAY (col 2740-2749) 
</t>
  </si>
  <si>
    <t>PER-AMP-MPI-PAM-PP-DEPRMD-AMT 
(col 2717-2727)</t>
  </si>
  <si>
    <t>1. Default to '1'</t>
  </si>
  <si>
    <t>PER-AMP-MPI-PAM-FED-WITH-IND (col 2803)</t>
  </si>
  <si>
    <t>PER-AMP-MPI-PAM-FED-WITH-PCT (col 2780-2784)</t>
  </si>
  <si>
    <t>2. Move 'N'</t>
  </si>
  <si>
    <t>PER-AMP-MPI-PAM-ST-WITH-IND (col 2829)</t>
  </si>
  <si>
    <t>PER-AMP-MPI-PAM-ST-WITH-PCT (col 2806-2810)</t>
  </si>
  <si>
    <t xml:space="preserve">PER-AMP-MSI-SI-CHK-ADDR-TYPE (col 1301)
PER-AMP-MSI-SI-CHK-ADDR-LINE1 (col 1302-1333)
</t>
  </si>
  <si>
    <t xml:space="preserve">PER-AMP-MSI-SI-CHK-ADDR-TYPE (col 1301)
PER-AMP-MSI-SI-CHK-ADDR-LINE2 (col 1334-1365)
</t>
  </si>
  <si>
    <t xml:space="preserve">PER-AMP-MSI-SI-CHK-ADDR-TYPE (col 1301)
PER-AMP-MSI-SI-CHK-ADDR-LINE3 (col 1366-1397)
</t>
  </si>
  <si>
    <t xml:space="preserve">PER-AMP-MSI-SI-CHK-ADDR-TYPE (col 1301)
PER-AMP-MSI-SI-CHK-ADDR-LINE4 (col 1398-1429)
</t>
  </si>
  <si>
    <t xml:space="preserve">PER-AMP-MSI-SI-CHK-ADDR-TYPE (col 1301)
PER-AMP-MSI-SI-CHK-ADDR-LINE5 (col 1430-1461)
</t>
  </si>
  <si>
    <t xml:space="preserve">PER-AMP-MSI-SI-CHK-ADDR-TYPE (col 1301)
PER-AMP-MSI-SI-CHK-ADDR-LINE6 (col 1462-1493)
</t>
  </si>
  <si>
    <t>IRA ONLY
If the number entered is less than 10, the minimum federal tax percentage that will be deducted is 10 percent.</t>
  </si>
  <si>
    <t>IRA ONLY
If the number entered in this field is less than 10 percent of the distribution, the minimum federal tax percentage that will be deducted is 10 percent</t>
  </si>
  <si>
    <t>ACH ADDENDA INFORMATION</t>
  </si>
  <si>
    <t>1. initialize to low values</t>
  </si>
  <si>
    <t>PER-AMP-MPI-PAM-3RD-PARTY-IND (col 2616)</t>
  </si>
  <si>
    <t>1. Set to run date of conversion</t>
  </si>
  <si>
    <t>1. Set to 'EDP'</t>
  </si>
  <si>
    <t>1. Set to 'CONV'</t>
  </si>
  <si>
    <t xml:space="preserve">PER-AMP-MPI-PI-TYPE (col 2251-2254)
PER-AMP-MPI-PAM-STATUS (col 2613)
</t>
  </si>
  <si>
    <t xml:space="preserve">PER-AMP-MPI-PI-TYPE 
(col 2251-2254)
PER-AMP-MPI-PAM-STATUS (col 2613)
</t>
  </si>
  <si>
    <t>PER-AMP-MPI-PAM-STATUS (col 2613)</t>
  </si>
  <si>
    <t>If there are multiple DIST records for 1 account, the TAX-ID cannot be the same number and it cannot equal all 9's.</t>
  </si>
  <si>
    <t>PER-AMP-MSI-SI-ACH-ABA (col 1302-1310)</t>
  </si>
  <si>
    <t>PER-AMP-MSI-SI-ACH-DDA (col 1311-1327)</t>
  </si>
  <si>
    <t>PER-AMP-MSI-SIACH-BNKACCT-TYP (col 1301)</t>
  </si>
  <si>
    <t xml:space="preserve">PER-AMP-MSI-SIACH-ACCTHLDR-LN1
 (col 1328-1361)                   
</t>
  </si>
  <si>
    <t xml:space="preserve">PER-AMP-MSI-SI-IRA-IND
 (col 1206-1207)           
</t>
  </si>
  <si>
    <t>2. Iniitalize to low values.</t>
  </si>
  <si>
    <r>
      <t xml:space="preserve">PER-AMP-MPI-PAM-RQST-RSNTYCD
 (col 2701-2704)           </t>
    </r>
    <r>
      <rPr>
        <sz val="9"/>
        <color indexed="8"/>
        <rFont val="Arial"/>
        <family val="2"/>
      </rPr>
      <t xml:space="preserve">
</t>
    </r>
  </si>
  <si>
    <t>2.  Move 'N'</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</si>
  <si>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</si>
  <si>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t>
  </si>
  <si>
    <t>Required if ALTERNATE NAME&amp;ADDR fields are populated</t>
  </si>
  <si>
    <t>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</si>
  <si>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t>Marital status - used only if tax is to be withheld based upon the IRS withholding tables.
(Not currently used for withholding calculations)
M = Married
S = Single
Valid values:
M- Married
S- Single</t>
  </si>
  <si>
    <t>Controls prenotes - must be set to low values to prohibit prenotes to be sent at conversion</t>
  </si>
  <si>
    <r>
      <t xml:space="preserve">PER-AMP-MSP-AMPS-MODE (col 24-26) 
PER-AMP-MSI-SI-JNL-TO-ACCT (col 1301-1309)
</t>
    </r>
    <r>
      <rPr>
        <sz val="9"/>
        <color indexed="8"/>
        <rFont val="Arial"/>
        <family val="2"/>
      </rPr>
      <t xml:space="preserve">
</t>
    </r>
  </si>
  <si>
    <t>X(16)</t>
  </si>
  <si>
    <t>SEC</t>
  </si>
  <si>
    <t>POE</t>
  </si>
  <si>
    <t>AUTH</t>
  </si>
  <si>
    <t>CLIENT MEMO</t>
  </si>
  <si>
    <t xml:space="preserve">Source of ACH Transaction 
Valid values:
EFT
WEB
IVR
Default = EFT
</t>
  </si>
  <si>
    <t xml:space="preserve">Customer Authorization 
Valid values:
CUST AUTHORIZED 
Spaces 
</t>
  </si>
  <si>
    <t>MEMO field where it can be used to add a note describing the transaction.  Information entered in the MEMO field will flow to the MEMO field on MACH for the transaction.</t>
  </si>
  <si>
    <t>Must be set to a date after the Financial conversion</t>
  </si>
  <si>
    <t>If POE field = EFT, this field must be spaces</t>
  </si>
  <si>
    <t>X(50)</t>
  </si>
  <si>
    <t>KEY-AREA</t>
  </si>
  <si>
    <t>(not for conversion)</t>
  </si>
  <si>
    <t>GROUP</t>
  </si>
  <si>
    <t>COOKIE-AREA</t>
  </si>
  <si>
    <t>BETA Field Name
DIST-</t>
  </si>
  <si>
    <t>CONVERSION -AREA</t>
  </si>
  <si>
    <t>WORKAREA</t>
  </si>
  <si>
    <t xml:space="preserve">9(9)
</t>
  </si>
  <si>
    <t>CDC-NEW-TAX-ID</t>
  </si>
  <si>
    <t>S9(13)V 9(2)</t>
  </si>
  <si>
    <t>9(5)V9(2)</t>
  </si>
  <si>
    <t xml:space="preserve">9(3)
</t>
  </si>
  <si>
    <t xml:space="preserve">S9(13)V 9(2)
</t>
  </si>
  <si>
    <t>CDC-ADDENDA</t>
  </si>
  <si>
    <t>9(9)</t>
  </si>
  <si>
    <t xml:space="preserve">S9(13)V9 (2)
</t>
  </si>
  <si>
    <t>9(3)</t>
  </si>
  <si>
    <t>CDC-UPDATE-RACF-ID</t>
  </si>
  <si>
    <t>1. Generated to 'DISTBLSV'</t>
  </si>
  <si>
    <t>1. Generated to 'EDP'</t>
  </si>
  <si>
    <t xml:space="preserve">Suggested variable amount of the check for the current period. May be a positive or negative amount and will be added to the fixed check amount in the AMOUNT field to produce the check for the current period.
</t>
  </si>
  <si>
    <t>VAR-AMT</t>
  </si>
  <si>
    <t>S9(13)v99</t>
  </si>
  <si>
    <t>CDC-ODO-AMT</t>
  </si>
  <si>
    <t>9(4)</t>
  </si>
  <si>
    <t>CDC-ADVICE-MIN-AMT</t>
  </si>
  <si>
    <t>MIN$</t>
  </si>
  <si>
    <t xml:space="preserve">One distribution only adjustment for the current period.  Typically not converted. </t>
  </si>
  <si>
    <t>FARM CASH  
MIN$</t>
  </si>
  <si>
    <t>Used to identify the minimum dollar amount for which mail advices will be sent to the customer.  Account level override to FARM CASH.</t>
  </si>
  <si>
    <t>CDC-DSI</t>
  </si>
  <si>
    <t>CDC-OLD-DSI</t>
  </si>
  <si>
    <t>CDC-DESC-3</t>
  </si>
  <si>
    <t>CDC-INQ-PERSPECTIVE</t>
  </si>
  <si>
    <t>CDC-ALT-NA-DESC</t>
  </si>
  <si>
    <t xml:space="preserve">9(5)
</t>
  </si>
  <si>
    <t>CDC-TRANS-FORMAT</t>
  </si>
  <si>
    <t>X(9)</t>
  </si>
  <si>
    <t>PAY</t>
  </si>
  <si>
    <t>CDC-PAY-CYMD</t>
  </si>
  <si>
    <t>This field displays the next payable date based on the begin cycle date and frequency.</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</si>
  <si>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</si>
  <si>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FARM CASH 
ACH MAIL ADV DEFAULT</t>
  </si>
  <si>
    <t>X(2582)</t>
  </si>
  <si>
    <t>1. move spaces</t>
  </si>
  <si>
    <t>Not for Conversion</t>
  </si>
  <si>
    <t>BLServer-related field - not for conversion</t>
  </si>
  <si>
    <t>1. Default to zeros.
If NAINST (beg 413) = I, populate with NAID (beg 382) from ACCT.
If  an account has multiple DIST records, the TAX-ID should be incremented by '1'.  (example:  ‘000000001’, ‘000000002’, etc.)'
If NAINST = I (beg 413) and more than 2 DIST records are created for 1 account, place account number on a warning report (MSGT = 5727)</t>
  </si>
  <si>
    <t>If DIST cycle date 'day' falls on a weekend, FARM DIST - WKND/HOL field determines the day the money is sent
If FREQ = E, CDC-BEGIN-DD2 (beg 898) must be populated.</t>
  </si>
  <si>
    <t>Date on which the variable amount was updated.  Not for conversion.
(Not currently used)</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</si>
  <si>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</si>
  <si>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 xml:space="preserve">Required if CDC-FREQUENCY = E.  
'DAY' must be less than the 'day' in CDC-BEGIN-CYMD (beg 29), if left as spaces engine will calculate to last business day.
</t>
  </si>
  <si>
    <t>BEG</t>
  </si>
  <si>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(displays as D on database)
N- State income tax will NOT be withheld.
Y- State income tax will be withheld.</t>
    </r>
  </si>
  <si>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(displays as D on database)
N- No federal income tax will be withheld.
Y- Federal income tax will be withheld.</t>
    </r>
  </si>
  <si>
    <t xml:space="preserve">If DIST cycle date 'day' falls on a weekend, FARM DIST - WKND/HOL field determines the day the money is sent
If FREQ = E, CDC-BEGIN-DD2 (beg 898) must be populated.
If BEGIN-CYMD is &lt; 17, and BEGIN-DD2 remains spaces, the system will populate DD2 with the last day of the month. 
</t>
  </si>
  <si>
    <t>1. If NAINST (beg 413) = I and NAIDFORMAT (beg 379) from ACCT = '-' move 'X' else move space.</t>
  </si>
  <si>
    <t xml:space="preserve">CDC-ACH-BENEFICIARY-TYP
</t>
  </si>
  <si>
    <t>CDC-JNL-BENEFICIARY-TYP</t>
  </si>
  <si>
    <t>CDC-WITH-ALLOWANCE-1</t>
  </si>
  <si>
    <t>CDC-WITH-CODE-1</t>
  </si>
  <si>
    <t>CDC-WITH-PCT-1</t>
  </si>
  <si>
    <t>CDC-WITH-AMOUNT-1</t>
  </si>
  <si>
    <t>CDC-WITH-CODE-2</t>
  </si>
  <si>
    <t>CDC-WITH-PCT-2</t>
  </si>
  <si>
    <t>CDC-WITH-AMOUNT-2</t>
  </si>
  <si>
    <t>CDC-WITH-ALLOWANCE-2</t>
  </si>
  <si>
    <t>CDC-ENTRY-SOURCE</t>
  </si>
  <si>
    <t>CDC-CUSTOMER-AUTH</t>
  </si>
  <si>
    <t>CDC-CLIENT-MEMO</t>
  </si>
  <si>
    <t>COMMENTS</t>
  </si>
  <si>
    <t>If left as low values and retail account, DE will assign CCHK, ACH or JNL. 
If retirement acct, DE will look to IRAS - IRA Type field.  Then LRPT - default distribution code to populate.  If it is spaces, DIST record will be rejected.</t>
  </si>
  <si>
    <t>=CONCATENATE("String ","",'COVER PAGE'!B7,"+ PER-AMP-MPI-ACCT-NUM"," with ACCT Adds After File")</t>
  </si>
  <si>
    <t>If left as low values and retail account, DE will assign CCHK, ACH or JNL. 
If retirement acct, DE will look to IRAS - IRA Type field.  Then LRPT - default distribution code to populate (SB78232).  If it is spaces, DIST record will be rejected.</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</si>
  <si>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C - The periodic distribution amount will be calculated automatically using the remaining RMD/remaining periods.  </t>
  </si>
  <si>
    <t>ED</t>
  </si>
  <si>
    <t>Bank account type indicator 
Valid values:                                               
C- Checking 
S- Savings
L - Loan
Valid values:                                               0 or C- Checking</t>
  </si>
  <si>
    <t>CDC-DIST-ALTER-ID</t>
  </si>
  <si>
    <t>Not for conversion.   Reserved for future use 11/2018.</t>
  </si>
  <si>
    <t>X(2580)</t>
  </si>
  <si>
    <t xml:space="preserve">FILLER
</t>
  </si>
  <si>
    <t>CDC-INQUIRY-SCOPE</t>
  </si>
  <si>
    <t>Not for conversion.   Reserved for future use 10/2018.</t>
  </si>
  <si>
    <t>PURGE REASON</t>
  </si>
  <si>
    <t>USE PURGE REASON (Y/N)</t>
  </si>
  <si>
    <t>VALUES TO PURGE</t>
  </si>
  <si>
    <t>PURGE #</t>
  </si>
  <si>
    <t>RJ-CNTDST-ACCT (col 8-15)</t>
  </si>
  <si>
    <t>RJ-NAHLDR-SSN (col 418-428)
RJ-NAHLDR-TIN (col 512-551)</t>
  </si>
  <si>
    <t>RJ-NAHLDR-SSN (col 418-428) 
RJ-NAHLDR-TIN (col 512-551)</t>
  </si>
  <si>
    <t xml:space="preserve">2nd day of the month that corresponds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</si>
  <si>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RJ-ACHPRF-FREQ-DAY2 (col 139-140)</t>
  </si>
  <si>
    <t>RJ-ACHPRF-FRDABA (col 18-26)</t>
  </si>
  <si>
    <t xml:space="preserve">RJ-PCHPMT-FED-WTH-PCT (col 63-67)  </t>
  </si>
  <si>
    <t>RJ-PCHPMT-FED-WTH-AMT (col 39-49)</t>
  </si>
  <si>
    <t xml:space="preserve">RJ-PCHPMT-ST-WTH-PCT (col 69-73)  </t>
  </si>
  <si>
    <t xml:space="preserve">RJ-PCHPMT-ST-WTH-AMT (col 51-61) </t>
  </si>
  <si>
    <t>RJ-ACHPRF-BKACCT-NO (col 52-71)</t>
  </si>
  <si>
    <t>RJ-ACHPRF-BK-ACCT-TYP (col 120)
C = Checking
S = Savings</t>
  </si>
  <si>
    <t>1. Move NAACCT-NO (beg 3-7).</t>
  </si>
  <si>
    <t xml:space="preserve">From ACCT Adds After File:
NAACCT-NO (Beg 3-7)
</t>
  </si>
  <si>
    <r>
      <t xml:space="preserve">2. Move 0's.
For First record: 
From ACCT Adds after file:   Move NAID (Beg 382). </t>
    </r>
    <r>
      <rPr>
        <sz val="9"/>
        <rFont val="Arial"/>
        <family val="2"/>
      </rPr>
      <t xml:space="preserve">
If an account has multiple DIST records and If NAINST (Beg 413) = I, move 0's</t>
    </r>
    <r>
      <rPr>
        <sz val="9"/>
        <rFont val="Arial"/>
        <family val="2"/>
      </rPr>
      <t>.  
If an account has muliple DIST records and NAINST (Beg 413) not = I,  the TAX-ID should be incremented by '1'.  (example:  ‘000000001’, ‘000000002’, etc.)'</t>
    </r>
  </si>
  <si>
    <t xml:space="preserve">1. Move ‘PRINCIPAL DISTRIBUTION’
</t>
  </si>
  <si>
    <t xml:space="preserve">1. Move: ‘INCOME DISTRIBUTION’
</t>
  </si>
  <si>
    <t>RJ Field Name</t>
  </si>
  <si>
    <t>RJ-ACHPRF-DIVACTV-SNDFD (col 151)</t>
  </si>
  <si>
    <t>RJ-ACHPRF-INTACTV-SNDFD (col 159)</t>
  </si>
  <si>
    <t>RJ-ACHPRF-PRNACTV-SNDFD (col 163)</t>
  </si>
  <si>
    <t>LPL - Landmark
Fixed
05/2020</t>
  </si>
  <si>
    <t>LPL - Landmark
Variable
05/2020</t>
  </si>
  <si>
    <r>
      <t xml:space="preserve">1. Initialize to low values.
</t>
    </r>
    <r>
      <rPr>
        <strike/>
        <sz val="9"/>
        <rFont val="Arial"/>
        <family val="2"/>
      </rPr>
      <t xml:space="preserve">If RJ-PCHPMT-IRA-TRANS (col 86 - 88) = '024' move DAB2 
'027' move PRERE
</t>
    </r>
    <r>
      <rPr>
        <sz val="9"/>
        <rFont val="Arial"/>
        <family val="2"/>
      </rPr>
      <t>Yes - Warning Report - Source Code not = 000.</t>
    </r>
  </si>
  <si>
    <r>
      <t xml:space="preserve">1. Initialize to low values.
</t>
    </r>
    <r>
      <rPr>
        <strike/>
        <sz val="9"/>
        <rFont val="Arial"/>
        <family val="2"/>
      </rPr>
      <t xml:space="preserve">If RJ-PCHPMT-IRA-TRANS (col 86 - 88) = '024' move DAB2 
'027' move PRERE
</t>
    </r>
    <r>
      <rPr>
        <sz val="9"/>
        <rFont val="Arial"/>
        <family val="2"/>
      </rPr>
      <t xml:space="preserve"> 
Yes - Warning Report - Source Code not = 000.</t>
    </r>
  </si>
  <si>
    <t>1. Refer to TABLE A.</t>
  </si>
  <si>
    <r>
      <rPr>
        <strike/>
        <sz val="9"/>
        <rFont val="Arial"/>
        <family val="2"/>
      </rPr>
      <t>1. Refer to TABLE A.</t>
    </r>
    <r>
      <rPr>
        <sz val="9"/>
        <rFont val="Arial"/>
        <family val="2"/>
      </rPr>
      <t xml:space="preserve">
</t>
    </r>
    <r>
      <rPr>
        <sz val="9"/>
        <color rgb="FF0000FF"/>
        <rFont val="Arial"/>
        <family val="2"/>
      </rPr>
      <t>5.5.20 NOTE: after LPL LAN conversion - learned to use the RJ-PCHPMT-NXT-PYMT-MDCY instead of table.</t>
    </r>
  </si>
  <si>
    <t xml:space="preserve">1. Initialize to low values.  
If RJ-PCHPMT-END-MDCY (col 97-104) is a valid date, greater than run date of conversion
   move RJ-PCHPMT-END-MDCY (col 97-104).
</t>
  </si>
  <si>
    <t xml:space="preserve">1. Move RJ-PCHPMT-GRS-AMT (col 27-37).
</t>
  </si>
  <si>
    <t>1. Move 'N'.
From ACCT Adds After File: If NAINST (Beg 413) = I, move RJ-PCHPMT-FED-WTH-PCT (col 63-67)  &gt; .0000, move 'Y'.</t>
  </si>
  <si>
    <t>1. Initialize to low values.
From ACCT Adds After File: If NAINST (Beg 413) = I, move RJ-PCHPMT-FED-WTH-PCT (col 63-67).
Sample: .1000 = 10%, .2500 = 25% (multiply by 100 to move decimal 2 places to the right).</t>
  </si>
  <si>
    <t>1.  Move 'N'.
From ACCT Adds After File: If NAINST (beg 413) = I, move RJ-PCHPMT-ST-WTH-PCT (col 69-73) &gt; .0000, move 'Y'.</t>
  </si>
  <si>
    <t>1. Initialize to low values.
From ACCT Adds After File: If NAINST (Beg 413) = I, move RJ-PCHPMT-ST-WTH-PCT (col 69-73).
Sample: .0600 = 6%, .0500 = 5% (multiply by 100 to move decimal 2 places to the right).</t>
  </si>
  <si>
    <t>1. Initialize to low values.</t>
  </si>
  <si>
    <r>
      <t xml:space="preserve">1. Initialize to low values.
If RJ-ACHPRF-DIVACTV-SNDFD (col 151) = 'Y', move 'X'.
</t>
    </r>
    <r>
      <rPr>
        <sz val="9"/>
        <color rgb="FFFF0000"/>
        <rFont val="Arial"/>
        <family val="2"/>
      </rPr>
      <t>5/8/20: Refer to Client Notes tab.</t>
    </r>
  </si>
  <si>
    <r>
      <t>1. Initialize to low values.  
If RJ-PCHPMT-XREF-ACCT-NO (col 109-116) is &gt; 0, use subroutine EB220809 (ACCT DB) to cross reference ‘LM’ +  RJ-PCHPMT-XREF-ACCT-NO</t>
    </r>
    <r>
      <rPr>
        <sz val="9"/>
        <color indexed="8"/>
        <rFont val="Arial"/>
        <family val="2"/>
      </rPr>
      <t xml:space="preserve"> and populate this field with new BETA account number.
</t>
    </r>
  </si>
  <si>
    <r>
      <t xml:space="preserve">1. Initialize to low values.
If RJ-ACHPRF-INTACTV-SNDFD (col 159) = 'Y', move 'X'
</t>
    </r>
    <r>
      <rPr>
        <sz val="9"/>
        <color rgb="FFFF0000"/>
        <rFont val="Arial"/>
        <family val="2"/>
      </rPr>
      <t>5/8/20: Refer to Client Notes tab.</t>
    </r>
  </si>
  <si>
    <t xml:space="preserve">1.  Initialize to low values.  
From ACCT Adds after file: If CDC-JNL-ACCT (Beg 651) is &gt; 0, move 1.
</t>
  </si>
  <si>
    <t xml:space="preserve">1.  Initialize to low values.  
If CDC-JNL-ACCT (Beg 651) &gt; 0 
   If CDC-JNL-ACCT (Beg 651) is NAINST (Beg 413) = I, 
       move 'IRACC'. 
Else, move 'JNL'.
</t>
  </si>
  <si>
    <r>
      <t xml:space="preserve">1. Initialize to low values.
If RJ-ACHPRF-PRNACTV-SNDFD (col 163) = 'Y', move 'X'.
</t>
    </r>
    <r>
      <rPr>
        <sz val="9"/>
        <color rgb="FFFF0000"/>
        <rFont val="Arial"/>
        <family val="2"/>
      </rPr>
      <t>5/8/20: Refer to Client Notes tab.</t>
    </r>
  </si>
  <si>
    <t>1. Initialize to low values. 
Move RJ-ACHPRF-FRDABA (col 18-26) if &gt; 0</t>
  </si>
  <si>
    <t xml:space="preserve">1. initialize to low values.   
If CDC-ACH-ABA (beg 678) is &gt; 0, move RJ-ACHPRF-BKACCT-NO (col 52-71)7).
</t>
  </si>
  <si>
    <t>1. initialize to low values.   
If CDC-ACH-ABA (beg 678) is &gt; 0, move RJ-ACHPRF-BK-ACCT-TYP (col 120).</t>
  </si>
  <si>
    <r>
      <rPr>
        <strike/>
        <sz val="9"/>
        <rFont val="Arial"/>
        <family val="2"/>
      </rPr>
      <t xml:space="preserve">2. Initialize to low values. 
If CDC-ACH-ABA (beg 678) is &gt; 0, move RJ-ACHPRF-BKACCT-NME (col 72-96).
</t>
    </r>
    <r>
      <rPr>
        <sz val="9"/>
        <rFont val="Arial"/>
        <family val="2"/>
      </rPr>
      <t xml:space="preserve">
</t>
    </r>
    <r>
      <rPr>
        <sz val="9"/>
        <color rgb="FFFF0000"/>
        <rFont val="Arial"/>
        <family val="2"/>
      </rPr>
      <t>2. Move RJ-ACHPRF-BKACCT-NME (col 72-96).
If RJ-ACHPRF-BKACCT-NME (col 72-96) ends with 'IRA' or 'RIRA' or 'SEP', move NA-KEY1.</t>
    </r>
  </si>
  <si>
    <t>1. Initialize to low values. 
If CDC-ACH-ABA (beg 678) is &gt; 0,  move 'Y'.</t>
  </si>
  <si>
    <t xml:space="preserve">1. Initialize to low values. 
If CDC-ACH-ABA (beg 678) is &gt; 0, set to first business day after Financial conversion. </t>
  </si>
  <si>
    <r>
      <t xml:space="preserve">1. Initialize to low values. 
If CDC-ACH-ABA (beg 678) &gt; 0, move '0'  </t>
    </r>
    <r>
      <rPr>
        <i/>
        <sz val="9"/>
        <rFont val="Arial"/>
        <family val="2"/>
      </rPr>
      <t xml:space="preserve"> </t>
    </r>
  </si>
  <si>
    <t>2. Initialize to low values.</t>
  </si>
  <si>
    <t>1. Initialize to low values. 
If CDC-ACH-ABA (beg 678) &gt; 0, if RJ-ACH-PRF-THRD-PRTY (col 121) = Y, move 'H'. 
Else, move H.</t>
  </si>
  <si>
    <t>1. Initialize to low values.
If CDC-JNL-ACCT (beg 651) is &gt; 0, If RJ-ACHPRF-THRD-PRTY (col 121) = Y, Move 'B'. Else, move A</t>
  </si>
  <si>
    <t>1. Initialize to low values. 
If CDC-JNL-ACCT (beg 651) is &gt; 0, If RJ-ACHPRF-THRD-PRTY (col 121) = Y, Move 'B'. Else, move A</t>
  </si>
  <si>
    <t xml:space="preserve">1.  Initialize to low values.  
From ACCT Adds After File:  If CDC-FREQUENCY (239) = E, refer to CDC-BEGIN-CYMD (240) field for instruction.
</t>
  </si>
  <si>
    <r>
      <t xml:space="preserve">1.  Initialize to low values.
If CDC-ACH-ABA (beg 678) is &gt; 0, </t>
    </r>
    <r>
      <rPr>
        <sz val="9"/>
        <rFont val="Arial"/>
        <family val="2"/>
      </rPr>
      <t>move 'N'.</t>
    </r>
  </si>
  <si>
    <t>1.  Initialize to low values.
If CDC-ACH-ABA (beg 678) is &gt; 0, move 'EFT'.</t>
  </si>
  <si>
    <r>
      <t xml:space="preserve">5608: </t>
    </r>
    <r>
      <rPr>
        <sz val="9"/>
        <color indexed="8"/>
        <rFont val="Arial"/>
        <family val="2"/>
      </rPr>
      <t xml:space="preserve"> The CSI-2 field on ACCT must be a ‘C’</t>
    </r>
  </si>
  <si>
    <r>
      <t xml:space="preserve">5607: </t>
    </r>
    <r>
      <rPr>
        <sz val="9"/>
        <color indexed="8"/>
        <rFont val="Arial"/>
        <family val="2"/>
      </rPr>
      <t xml:space="preserve">The DIVSI field on ACCT must be a ‘1, D, W, E or M’ </t>
    </r>
  </si>
  <si>
    <t>LPL - Great Western Bank
DIST Reverse Mapping</t>
  </si>
  <si>
    <t>023</t>
  </si>
  <si>
    <t>001</t>
  </si>
  <si>
    <t>GW</t>
  </si>
  <si>
    <t>Sandy Bennett 262-309-9521</t>
  </si>
  <si>
    <t>Kyle Starnes</t>
  </si>
  <si>
    <t>C</t>
  </si>
  <si>
    <t>W1</t>
  </si>
  <si>
    <t>V3</t>
  </si>
  <si>
    <r>
      <t xml:space="preserve">1. Initialize to low values.
If RJ-ACHPRF-INTACTV-SNDFD (col 159) = 'Y', move 'X'
</t>
    </r>
    <r>
      <rPr>
        <sz val="9"/>
        <color rgb="FFFF0000"/>
        <rFont val="Arial"/>
        <family val="2"/>
      </rPr>
      <t xml:space="preserve"> </t>
    </r>
  </si>
  <si>
    <r>
      <t xml:space="preserve">1. Initialize to low values.
If RJ-ACHPRF-DIVACTV-SNDFD (col 151) = 'Y', move 'X'.
</t>
    </r>
    <r>
      <rPr>
        <sz val="9"/>
        <color rgb="FFFF0000"/>
        <rFont val="Arial"/>
        <family val="2"/>
      </rPr>
      <t xml:space="preserve"> </t>
    </r>
  </si>
  <si>
    <r>
      <t xml:space="preserve">1. Initialize to low values.
If RJ-ACHPRF-PRNACTV-SNDFD (col 163) = 'Y', move 'X'.
</t>
    </r>
    <r>
      <rPr>
        <sz val="9"/>
        <color rgb="FFFF0000"/>
        <rFont val="Arial"/>
        <family val="2"/>
      </rPr>
      <t xml:space="preserve"> </t>
    </r>
  </si>
  <si>
    <t>Program determines if record is fixed if DISTRIBUTION-AMT field &gt; 0 else it is a variable record</t>
  </si>
  <si>
    <t>Yes</t>
  </si>
  <si>
    <t>LPL to confirm the number of RMD's on the file. Can we convert the Fixed amount (but no RMD services)?</t>
  </si>
  <si>
    <t>LPL to verify the Customer Bank info (Crystal/Rakel)</t>
  </si>
  <si>
    <t xml:space="preserve">ACHs = </t>
  </si>
  <si>
    <t>ACH flag = Y</t>
  </si>
  <si>
    <t>Checks =</t>
  </si>
  <si>
    <t>ACH flag = N &amp; Xref Acct = blank</t>
  </si>
  <si>
    <t>JRL =</t>
  </si>
  <si>
    <t>Xref Acct</t>
  </si>
  <si>
    <t>67196346 -&gt; 31911817</t>
  </si>
  <si>
    <t>After Conversion Notes: 5/8/20:</t>
  </si>
  <si>
    <t>If  the below DIV field = Y, then the variable DIST – DIV field gets set to X:</t>
  </si>
  <si>
    <t>div_acty_send_funds_flag</t>
  </si>
  <si>
    <t>Y</t>
  </si>
  <si>
    <t>If the below INT field = Y, then the variable DIST – INT field gets set to X:</t>
  </si>
  <si>
    <t>int_acty_send_funds_flag</t>
  </si>
  <si>
    <t>N</t>
  </si>
  <si>
    <t>If the below PRIN field = Y, then the variable DIST – PRIN field gets set to X</t>
  </si>
  <si>
    <t>principal_acty_send_funds_flag</t>
  </si>
  <si>
    <t>These 2 fields below are proprietary CUSIPS to RJ’s, and don’t effect our DIST event regardless of Y/N status:</t>
  </si>
  <si>
    <t>misc_payable_acty_send_funds_flag</t>
  </si>
  <si>
    <t>mutfund_div_acty_send_funds_flag</t>
  </si>
  <si>
    <r>
      <t xml:space="preserve">1. Initialize to low values.
</t>
    </r>
    <r>
      <rPr>
        <strike/>
        <sz val="9"/>
        <rFont val="Arial"/>
        <family val="2"/>
      </rPr>
      <t xml:space="preserve">
</t>
    </r>
    <r>
      <rPr>
        <sz val="9"/>
        <rFont val="Arial"/>
        <family val="2"/>
      </rPr>
      <t>Yes - Warning Report - Source Code not = 000.</t>
    </r>
  </si>
  <si>
    <t>1. Initialize to low values.
Yes - Warning Report - Source Code not = 000.</t>
  </si>
  <si>
    <t>2. Move ?</t>
  </si>
  <si>
    <t xml:space="preserve">1. Initialize to low values.
If RJ-PCHPMT-IRA-TRANS (col 86 - 88) = '???' move '????' 
'???' move '????'
Yes/No - Warning Report - Source Code </t>
  </si>
  <si>
    <t>1. Initialize to low values.
From ACCT Adds After File: If NAINST (Beg 413) = I, move RJ-PCHPMT-FED-WTH-PCT (col 63-67).
Sample: .0600 = 6%, .0500 = 5% (multiply by 100 to move decimal 2 places to the right).</t>
  </si>
  <si>
    <t xml:space="preserve">1. Move ???.
</t>
  </si>
  <si>
    <t>1. Initialize to low values.
If RJ-ACHPRF-DIVACTV-SNDFD 9 (col 151) = 'Y', move 'X'.</t>
  </si>
  <si>
    <t>1. Initialize to low values.
If RJ-ACHPRF-INTACTV-SNDFD (col 159) = 'Y', move 'X'.</t>
  </si>
  <si>
    <t>1. Initialize to low values. 
If CDC-ACH-ABA (beg 678) is &gt; 0, move ‘NA-KEY1’ (Beg 235-258) from ACCT Adds After File.</t>
  </si>
  <si>
    <r>
      <t xml:space="preserve">1. Initialize to low values. 
If CDC-ACH-ABA (beg 678) &gt; 0, move '?'  </t>
    </r>
    <r>
      <rPr>
        <i/>
        <sz val="9"/>
        <rFont val="Arial"/>
        <family val="2"/>
      </rPr>
      <t xml:space="preserve"> </t>
    </r>
  </si>
  <si>
    <r>
      <t>1. Move 'A'.
If CDC-ALT-NALINE-1 (beg 323) &gt; space,
   if</t>
    </r>
    <r>
      <rPr>
        <sz val="9"/>
        <color rgb="FFFF0000"/>
        <rFont val="Arial"/>
        <family val="2"/>
      </rPr>
      <t xml:space="preserve"> RJ-ACHPRF-THRD-PRTY (col 121)</t>
    </r>
    <r>
      <rPr>
        <sz val="9"/>
        <rFont val="Arial"/>
        <family val="2"/>
      </rPr>
      <t xml:space="preserve"> = Y,     
       Move 'B'.</t>
    </r>
  </si>
  <si>
    <t>1. Initialize to low values. 
If CDC-ACH-ABA (beg 678) &gt; 0, if RJ-ACH-PRF-THRD-PRTY (col 121) = Y, move '?'. 
Else, move ?.</t>
  </si>
  <si>
    <t>1. Initialize to low values.
If CDC-JNL-ACCT (beg 651) is &gt; 0, If RJ-ACHPRF-THRD-PRTY (col 121) = Y, Move '?'. Else, move ?</t>
  </si>
  <si>
    <t xml:space="preserve">2. Move '?'
</t>
  </si>
  <si>
    <t>RJ-PCHPMT-IRA-TRANS (col 86 - 88)</t>
  </si>
  <si>
    <t>RJ-PCHPMT-FREQ (col 18-19)</t>
  </si>
  <si>
    <t>RJ-PCHPMT-END-MDCY (col 97-104)</t>
  </si>
  <si>
    <t>RJ-PCHPMT-GRS-AMT (col 27-37)</t>
  </si>
  <si>
    <t>RJ-PCHPMT-XREF-ACCT-NO (col 109-116)</t>
  </si>
  <si>
    <t>RJ-ACHPRF-THRD-PRTY (col 121)</t>
  </si>
  <si>
    <t>2. Move RJ-PCHPMT-NXT-PYMT-MDCY</t>
  </si>
  <si>
    <t>Frequency Description</t>
  </si>
  <si>
    <t>RJ-PCHPMT-FREQ-DAY1
(col 22-23)</t>
  </si>
  <si>
    <t>CDC-FREQUENCY
(beg 239)</t>
  </si>
  <si>
    <t>WARNING REPORT</t>
  </si>
  <si>
    <t>DEFAULT</t>
  </si>
  <si>
    <t>M</t>
  </si>
  <si>
    <t>ANNUAL</t>
  </si>
  <si>
    <t>A</t>
  </si>
  <si>
    <t>SEMI-ANNUAL</t>
  </si>
  <si>
    <t>SA</t>
  </si>
  <si>
    <t>QUARTERLY</t>
  </si>
  <si>
    <t>Q</t>
  </si>
  <si>
    <t>MONTHLY</t>
  </si>
  <si>
    <t xml:space="preserve">NI Template Only:  If 'month' is the month of the financial conversion, additional logic will be needed based on 'day'.  </t>
  </si>
  <si>
    <t xml:space="preserve"> For example, if run date of Financial is Saturday, April 18, 2020 this logic should be included:   If APR &lt; 20th of month then APR = 2020 or if APR &gt;=20th of month, MAY = 2020</t>
  </si>
  <si>
    <r>
      <t xml:space="preserve">      </t>
    </r>
    <r>
      <rPr>
        <b/>
        <sz val="11"/>
        <color indexed="8"/>
        <rFont val="Calibri"/>
        <family val="2"/>
      </rPr>
      <t>MONTH</t>
    </r>
    <r>
      <rPr>
        <b/>
        <sz val="11"/>
        <color theme="1"/>
        <rFont val="Calibri"/>
        <family val="2"/>
        <scheme val="minor"/>
      </rPr>
      <t xml:space="preserve">
CDC-BEGIN-CYMD
(beg 245-246)</t>
    </r>
  </si>
  <si>
    <r>
      <t xml:space="preserve">        </t>
    </r>
    <r>
      <rPr>
        <b/>
        <sz val="11"/>
        <color indexed="8"/>
        <rFont val="Calibri"/>
        <family val="2"/>
      </rPr>
      <t>YEAR</t>
    </r>
    <r>
      <rPr>
        <b/>
        <sz val="11"/>
        <color theme="1"/>
        <rFont val="Calibri"/>
        <family val="2"/>
        <scheme val="minor"/>
      </rPr>
      <t xml:space="preserve">
CDC-BEGIN-CYMD
(beg 240-244)</t>
    </r>
  </si>
  <si>
    <t>RJACHPRF</t>
  </si>
  <si>
    <t>RJPCHPMT</t>
  </si>
  <si>
    <t>ACCT Adds After File</t>
  </si>
  <si>
    <t>CS.CVT2020.LPL.GWB.PROFILE(0)</t>
  </si>
  <si>
    <t>CS.CVT2020.LPL.GWB.PROPPYMT(0)</t>
  </si>
  <si>
    <t>LPL to enter the third party check information after NF event (i.e. church). RJ has a separate (excel spreadsheet) with approx. ?? accounts.</t>
  </si>
  <si>
    <t>Distributions = ??</t>
  </si>
  <si>
    <t>Contributions = ??</t>
  </si>
  <si>
    <r>
      <t xml:space="preserve">2. Move 0's.
For First record: 
From ACCT Adds after file:   Move NAID (Beg 382). 
If an account has multiple DIST records and If NAINST (Beg 413) = I, move 0's. </t>
    </r>
    <r>
      <rPr>
        <sz val="9"/>
        <color rgb="FFFF0000"/>
        <rFont val="Arial"/>
        <family val="2"/>
      </rPr>
      <t xml:space="preserve"> should be incremented by '1'.  (example:  ‘000000001’, ‘000000002’, etc.)'</t>
    </r>
    <r>
      <rPr>
        <sz val="9"/>
        <rFont val="Arial"/>
        <family val="2"/>
      </rPr>
      <t xml:space="preserve">
If an account has muliple DIST records and NAINST (Beg 413) not = I,  the TAX-ID should be incremented by '1'.  (example:  ‘000000001’, ‘000000002’, etc.)'</t>
    </r>
  </si>
  <si>
    <r>
      <t>If there are multiple DIST records for 1 account, the TAX-ID cannot be the same number and it cannot equal all 9's.</t>
    </r>
    <r>
      <rPr>
        <sz val="9"/>
        <color rgb="FFFF0000"/>
        <rFont val="Arial"/>
        <family val="2"/>
      </rPr>
      <t xml:space="preserve">
Retail/IRAs to increment.</t>
    </r>
  </si>
  <si>
    <t>Added a new purge.</t>
  </si>
  <si>
    <t xml:space="preserve">2. Initialize to low values.
If RJ-ACHPRF-DIVACTV-SNDFD (col 151) = 'Y', move 'X'.
</t>
  </si>
  <si>
    <r>
      <t xml:space="preserve">1. </t>
    </r>
    <r>
      <rPr>
        <sz val="9"/>
        <color rgb="FFFF0000"/>
        <rFont val="Arial"/>
        <family val="2"/>
      </rPr>
      <t>Initialize to low values.</t>
    </r>
    <r>
      <rPr>
        <sz val="9"/>
        <rFont val="Arial"/>
        <family val="2"/>
      </rPr>
      <t xml:space="preserve">
If CDC-ALT-NALINE-1 (beg 323) &gt; space,
   if</t>
    </r>
    <r>
      <rPr>
        <sz val="9"/>
        <color rgb="FFFF0000"/>
        <rFont val="Arial"/>
        <family val="2"/>
      </rPr>
      <t xml:space="preserve"> RJ-ACHPRF-THRD-PRTY (col 121)</t>
    </r>
    <r>
      <rPr>
        <sz val="9"/>
        <rFont val="Arial"/>
        <family val="2"/>
      </rPr>
      <t xml:space="preserve"> = Y,     
       Move 'H'.</t>
    </r>
  </si>
  <si>
    <t>1. Initialize to low values.
If CDC-JNL-ACCT (beg 651) is &gt; 0, If RJ-ACHPRF-THRD-PRTY (col 121) = Y, Move 'H'. Else, move A.</t>
  </si>
  <si>
    <t>1. Initialize to low values. 
If CDC-JNL-ACCT (beg 651) is &gt; 0, If RJ-ACHPRF-THRD-PRTY (col 121) = Y, Move 'H'. Else, move A</t>
  </si>
  <si>
    <t>LPL required for Retail &amp; IRA accounts.</t>
  </si>
  <si>
    <r>
      <t>1. Initialize to low values.  
If RJ-PCHPMT-XREF-ACCT-NO (col 109-116) is &gt; 0, use subroutine EB220809 (ACCT DB) to cross reference ‘GB’ +  RJ-PCHPMT-XREF-ACCT-NO</t>
    </r>
    <r>
      <rPr>
        <sz val="9"/>
        <color indexed="8"/>
        <rFont val="Arial"/>
        <family val="2"/>
      </rPr>
      <t xml:space="preserve"> and populate this field with new BETA account number.
</t>
    </r>
  </si>
  <si>
    <t>2. Move RJ-PCHPMT-FREQ (col 18-19)</t>
  </si>
  <si>
    <t>2. Move RJ-PCHPMT-NXT-PYMT-CYMD (col 89-96).</t>
  </si>
  <si>
    <t>RJ-PCHPMT-NXT-MNTH (col 20-21)
RJ-PCHPMT-FREQ-DAY1 (col 22-23)
RJ-PCHPMT-NXT-PYMT-CYMD (col 89-96)</t>
  </si>
  <si>
    <t>2. Move RJ-ACHPRF-BKACCT-NME (col 72-96).
If RJ-ACHPRF-BKACCT-NME (col 72-96) ends with 'IRA' or 'RIRA' or 'SEP', move NA-KEY1.</t>
  </si>
  <si>
    <t>RJ-PCHPMT-END-CYMD (col 97-104)</t>
  </si>
  <si>
    <t>contains a valid date and less than or = 20222207.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</si>
</sst>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0">
    <font>
      <sz val="11"/>
      <color theme="1"/>
      <name val="Calibri"/>
      <family val="2"/>
      <scheme val="minor"/>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name val="Arial"/>
      <family val="2"/>
    </font>
    <font>
      <u/>
      <sz val="8.8000000000000007"/>
      <color theme="10"/>
      <name val="Calibri"/>
      <family val="2"/>
    </font>
    <font>
      <sz val="10"/>
      <color theme="1"/>
      <name val="Calibri"/>
      <family val="2"/>
      <scheme val="minor"/>
    </font>
    <font>
      <b/>
      <sz val="11"/>
      <color theme="1"/>
      <name val="Calibri"/>
      <family val="2"/>
      <scheme val="minor"/>
    </font>
    <font>
      <sz val="11"/>
      <color rgb="FFFF0000"/>
      <name val="Calibri"/>
      <family val="2"/>
      <scheme val="minor"/>
    </font>
    <font>
      <sz val="9"/>
      <color theme="1"/>
      <name val="Arial"/>
      <family val="2"/>
    </font>
    <font>
      <b/>
      <sz val="9"/>
      <color theme="1"/>
      <name val="Arial"/>
      <family val="2"/>
    </font>
    <font>
      <sz val="9"/>
      <color rgb="FFFF0000"/>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sz val="9"/>
      <color rgb="FF000000"/>
      <name val="Arial"/>
      <family val="2"/>
    </font>
    <font>
      <b/>
      <sz val="9"/>
      <color theme="0"/>
      <name val="Arial"/>
      <family val="2"/>
    </font>
    <font>
      <sz val="9"/>
      <color theme="1"/>
      <name val="Wingdings"/>
      <charset val="2"/>
    </font>
    <font>
      <sz val="9"/>
      <color theme="1"/>
      <name val="Calibri"/>
      <family val="2"/>
      <scheme val="minor"/>
    </font>
    <font>
      <i/>
      <sz val="9"/>
      <color theme="1"/>
      <name val="Arial"/>
      <family val="2"/>
    </font>
    <font>
      <sz val="9"/>
      <color theme="0"/>
      <name val="Arial"/>
      <family val="2"/>
    </font>
    <font>
      <sz val="11"/>
      <name val="Calibri"/>
      <family val="2"/>
      <scheme val="minor"/>
    </font>
    <font>
      <b/>
      <sz val="11"/>
      <color rgb="FFFF0000"/>
      <name val="Calibri"/>
      <family val="2"/>
      <scheme val="minor"/>
    </font>
    <font>
      <strike/>
      <sz val="9"/>
      <name val="Arial"/>
      <family val="2"/>
    </font>
    <font>
      <i/>
      <sz val="9"/>
      <name val="Arial"/>
      <family val="2"/>
    </font>
    <font>
      <b/>
      <sz val="11"/>
      <color theme="0"/>
      <name val="Calibri"/>
      <family val="2"/>
      <scheme val="minor"/>
    </font>
    <font>
      <sz val="11"/>
      <color rgb="FF201F1E"/>
      <name val="Calibri"/>
      <family val="2"/>
      <scheme val="minor"/>
    </font>
    <font>
      <b/>
      <sz val="11"/>
      <color rgb="FF000000"/>
      <name val="Calibri"/>
      <family val="2"/>
    </font>
    <font>
      <sz val="11"/>
      <color rgb="FF000000"/>
      <name val="Calibri"/>
      <family val="2"/>
    </font>
    <font>
      <b/>
      <sz val="11"/>
      <color indexed="8"/>
      <name val="Calibri"/>
      <family val="2"/>
    </font>
    <font>
      <sz val="8"/>
      <name val="Arial"/>
      <family val="2"/>
    </font>
    <font>
      <b/>
      <sz val="8"/>
      <name val="Arial"/>
      <family val="2"/>
    </font>
    <font>
      <sz val="8"/>
      <color theme="1"/>
      <name val="Arial"/>
      <family val="2"/>
    </font>
    <font>
      <sz val="8"/>
      <color rgb="FFFF0000"/>
      <name val="Arial"/>
      <family val="2"/>
    </font>
    <font>
      <sz val="8"/>
      <color rgb="FF000000"/>
      <name val="Arial"/>
      <family val="2"/>
    </font>
    <font>
      <b/>
      <sz val="9"/>
      <color theme="1"/>
      <name val="Arial (W1)"/>
      <family val="2"/>
    </font>
    <font>
      <sz val="9"/>
      <color theme="1"/>
      <name val="Arial (W1)"/>
      <family val="2"/>
    </font>
  </fonts>
  <fills count="12">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theme="0" tint="-0.14999847407452621"/>
      </right>
      <top/>
      <bottom/>
      <diagonal/>
    </border>
    <border>
      <left style="medium">
        <color rgb="FFFF0000"/>
      </left>
      <right style="thin">
        <color indexed="64"/>
      </right>
      <top style="thin">
        <color indexed="64"/>
      </top>
      <bottom style="thin">
        <color indexed="64"/>
      </bottom>
      <diagonal/>
    </border>
    <border>
      <left/>
      <right/>
      <top style="thin">
        <color indexed="64"/>
      </top>
      <bottom/>
      <diagonal/>
    </border>
    <border>
      <left style="medium">
        <color rgb="FFFF0000"/>
      </left>
      <right style="thin">
        <color indexed="64"/>
      </right>
      <top style="thin">
        <color indexed="64"/>
      </top>
      <bottom/>
      <diagonal/>
    </border>
  </borders>
  <cellStyleXfs count="6">
    <xf numFmtId="0" fontId="0" fillId="0" borderId="0"/>
    <xf numFmtId="0" fontId="7" fillId="0" borderId="0" applyNumberFormat="0" applyFill="0" applyBorder="0" applyAlignment="0" applyProtection="0">
      <alignment vertical="top"/>
      <protection locked="0"/>
    </xf>
    <xf numFmtId="0" fontId="8" fillId="0" borderId="0"/>
    <xf numFmtId="0" fontId="8" fillId="0" borderId="0"/>
    <xf numFmtId="0" fontId="8" fillId="0" borderId="0"/>
    <xf numFmtId="0" fontId="8" fillId="0" borderId="0"/>
  </cellStyleXfs>
  <cellXfs count="323">
    <xf numFmtId="0" fontId="0" fillId="0" borderId="0" xfId="0"/>
    <xf numFmtId="0" fontId="11" fillId="0" borderId="0" xfId="0" applyFont="1"/>
    <xf numFmtId="0" fontId="2" fillId="0" borderId="1" xfId="0" applyFont="1" applyFill="1" applyBorder="1" applyAlignment="1" applyProtection="1">
      <alignment vertical="top" wrapText="1"/>
      <protection locked="0"/>
    </xf>
    <xf numFmtId="0" fontId="11" fillId="0" borderId="0" xfId="0" applyFont="1" applyBorder="1"/>
    <xf numFmtId="0" fontId="11" fillId="0" borderId="0" xfId="0" applyFont="1" applyBorder="1" applyAlignment="1">
      <alignment vertical="top" wrapText="1"/>
    </xf>
    <xf numFmtId="0" fontId="11" fillId="0" borderId="0" xfId="0" applyFont="1" applyBorder="1" applyAlignment="1">
      <alignment vertical="top"/>
    </xf>
    <xf numFmtId="0" fontId="11" fillId="0" borderId="0" xfId="0" applyFont="1" applyBorder="1" applyAlignment="1" applyProtection="1">
      <alignment vertical="top" wrapText="1"/>
      <protection locked="0"/>
    </xf>
    <xf numFmtId="49" fontId="12" fillId="0" borderId="1" xfId="0" applyNumberFormat="1" applyFont="1" applyFill="1" applyBorder="1" applyAlignment="1" applyProtection="1">
      <alignment horizontal="left" vertical="top" wrapText="1"/>
      <protection locked="0"/>
    </xf>
    <xf numFmtId="0" fontId="11" fillId="0" borderId="1" xfId="0" applyFont="1" applyFill="1" applyBorder="1" applyAlignment="1">
      <alignment vertical="top"/>
    </xf>
    <xf numFmtId="0" fontId="12" fillId="0" borderId="1" xfId="0" applyFont="1" applyFill="1" applyBorder="1" applyAlignment="1" applyProtection="1">
      <alignment horizontal="left" vertical="top" wrapText="1"/>
      <protection locked="0"/>
    </xf>
    <xf numFmtId="0" fontId="13" fillId="0" borderId="1" xfId="0" applyFont="1" applyFill="1" applyBorder="1" applyAlignment="1" applyProtection="1">
      <alignment horizontal="center" vertical="center"/>
      <protection locked="0"/>
    </xf>
    <xf numFmtId="0" fontId="11" fillId="0" borderId="1" xfId="0" applyFont="1" applyFill="1" applyBorder="1" applyAlignment="1" applyProtection="1">
      <alignment horizontal="left" vertical="top" wrapText="1"/>
      <protection locked="0"/>
    </xf>
    <xf numFmtId="0" fontId="11" fillId="0" borderId="0" xfId="0" applyFont="1" applyFill="1" applyAlignment="1" applyProtection="1">
      <alignment vertical="top" wrapText="1"/>
    </xf>
    <xf numFmtId="0" fontId="11" fillId="0" borderId="0" xfId="0" applyFont="1" applyFill="1" applyProtection="1">
      <protection locked="0"/>
    </xf>
    <xf numFmtId="0" fontId="11" fillId="0" borderId="0" xfId="0" applyFont="1" applyFill="1" applyBorder="1"/>
    <xf numFmtId="0" fontId="12" fillId="0" borderId="0" xfId="0" applyFont="1" applyFill="1" applyAlignment="1" applyProtection="1">
      <alignment horizontal="left" wrapText="1"/>
      <protection locked="0"/>
    </xf>
    <xf numFmtId="0" fontId="11" fillId="0" borderId="0" xfId="0" applyFont="1" applyFill="1" applyBorder="1" applyAlignment="1">
      <alignment vertical="top" wrapText="1"/>
    </xf>
    <xf numFmtId="0" fontId="11" fillId="0" borderId="0" xfId="0" applyFont="1" applyFill="1" applyBorder="1" applyAlignment="1">
      <alignment vertical="top"/>
    </xf>
    <xf numFmtId="0" fontId="11" fillId="0" borderId="0" xfId="0" applyFont="1" applyBorder="1" applyAlignment="1" applyProtection="1">
      <alignment horizontal="center" vertical="top"/>
      <protection locked="0"/>
    </xf>
    <xf numFmtId="0" fontId="11" fillId="0" borderId="0" xfId="0" applyFont="1" applyBorder="1" applyAlignment="1" applyProtection="1">
      <alignment horizontal="center" vertical="top" wrapText="1"/>
      <protection locked="0"/>
    </xf>
    <xf numFmtId="0" fontId="12" fillId="0" borderId="0" xfId="0" applyFont="1" applyBorder="1" applyAlignment="1" applyProtection="1">
      <alignment horizontal="center" vertical="top" wrapText="1"/>
      <protection locked="0"/>
    </xf>
    <xf numFmtId="0" fontId="11" fillId="0" borderId="0" xfId="0" applyFont="1" applyBorder="1" applyAlignment="1" applyProtection="1">
      <alignment horizontal="left" vertical="top" wrapText="1"/>
      <protection locked="0"/>
    </xf>
    <xf numFmtId="0" fontId="11" fillId="0" borderId="0" xfId="0" applyFont="1" applyFill="1" applyBorder="1" applyAlignment="1" applyProtection="1">
      <alignment vertical="top" wrapText="1"/>
      <protection locked="0"/>
    </xf>
    <xf numFmtId="0" fontId="14" fillId="0" borderId="0" xfId="0" applyFont="1" applyFill="1" applyBorder="1" applyAlignment="1" applyProtection="1">
      <alignment vertical="top" wrapText="1"/>
      <protection locked="0"/>
    </xf>
    <xf numFmtId="49" fontId="15" fillId="0" borderId="0" xfId="1" applyNumberFormat="1" applyFont="1" applyFill="1" applyBorder="1" applyAlignment="1" applyProtection="1">
      <alignment vertical="top" wrapText="1"/>
      <protection locked="0"/>
    </xf>
    <xf numFmtId="0" fontId="11" fillId="0" borderId="0" xfId="0" applyFont="1" applyFill="1" applyBorder="1" applyAlignment="1" applyProtection="1">
      <alignment horizontal="center"/>
      <protection locked="0"/>
    </xf>
    <xf numFmtId="0" fontId="12" fillId="0" borderId="0" xfId="0" applyFont="1" applyFill="1" applyBorder="1" applyAlignment="1" applyProtection="1">
      <alignment horizontal="left" vertical="top" wrapText="1"/>
      <protection locked="0"/>
    </xf>
    <xf numFmtId="0" fontId="11" fillId="0" borderId="0" xfId="0" applyFont="1" applyFill="1" applyBorder="1" applyProtection="1">
      <protection locked="0"/>
    </xf>
    <xf numFmtId="0" fontId="11" fillId="0" borderId="0" xfId="0" applyFont="1" applyFill="1" applyBorder="1" applyAlignment="1" applyProtection="1">
      <alignment horizontal="left" vertical="top" wrapText="1"/>
      <protection locked="0"/>
    </xf>
    <xf numFmtId="0" fontId="11" fillId="0" borderId="0" xfId="0" applyFont="1" applyFill="1" applyBorder="1" applyAlignment="1" applyProtection="1">
      <alignment vertical="top"/>
      <protection locked="0"/>
    </xf>
    <xf numFmtId="0" fontId="15" fillId="0" borderId="0" xfId="1" applyFont="1" applyFill="1" applyBorder="1" applyAlignment="1" applyProtection="1">
      <alignment vertical="top" wrapText="1"/>
      <protection locked="0"/>
    </xf>
    <xf numFmtId="49" fontId="14" fillId="0" borderId="0" xfId="1" applyNumberFormat="1" applyFont="1" applyFill="1" applyBorder="1" applyAlignment="1" applyProtection="1">
      <alignment vertical="top" wrapText="1"/>
      <protection locked="0"/>
    </xf>
    <xf numFmtId="0" fontId="16" fillId="0" borderId="0" xfId="0" applyFont="1" applyFill="1" applyBorder="1" applyAlignment="1" applyProtection="1">
      <alignment horizontal="left" vertical="top" wrapText="1"/>
      <protection locked="0"/>
    </xf>
    <xf numFmtId="0" fontId="11" fillId="0" borderId="1" xfId="0" applyFont="1" applyFill="1" applyBorder="1" applyAlignment="1">
      <alignment horizontal="center" vertical="top" wrapText="1"/>
    </xf>
    <xf numFmtId="0" fontId="9" fillId="2" borderId="1" xfId="0" applyFont="1" applyFill="1" applyBorder="1" applyAlignment="1">
      <alignment horizontal="center"/>
    </xf>
    <xf numFmtId="0" fontId="9" fillId="2" borderId="1" xfId="0" applyFont="1" applyFill="1" applyBorder="1" applyAlignment="1">
      <alignment horizontal="center" wrapText="1"/>
    </xf>
    <xf numFmtId="164" fontId="11" fillId="0" borderId="0" xfId="0" applyNumberFormat="1" applyFont="1" applyAlignment="1">
      <alignment horizontal="left"/>
    </xf>
    <xf numFmtId="0" fontId="11" fillId="0" borderId="0" xfId="0" applyFont="1" applyAlignment="1">
      <alignment wrapText="1"/>
    </xf>
    <xf numFmtId="164" fontId="0" fillId="0" borderId="0" xfId="0" applyNumberFormat="1" applyAlignment="1">
      <alignment horizontal="left"/>
    </xf>
    <xf numFmtId="14" fontId="0" fillId="0" borderId="0" xfId="0" applyNumberFormat="1"/>
    <xf numFmtId="0" fontId="0" fillId="0" borderId="0" xfId="0" applyFill="1"/>
    <xf numFmtId="0" fontId="0" fillId="0" borderId="0" xfId="0"/>
    <xf numFmtId="0" fontId="11" fillId="0" borderId="1" xfId="0" applyFont="1" applyBorder="1" applyAlignment="1">
      <alignment horizontal="center"/>
    </xf>
    <xf numFmtId="0" fontId="11" fillId="0" borderId="0" xfId="0" applyFont="1"/>
    <xf numFmtId="0" fontId="11" fillId="0" borderId="0" xfId="0" applyFont="1" applyAlignment="1">
      <alignment horizontal="center"/>
    </xf>
    <xf numFmtId="0" fontId="11" fillId="0" borderId="0" xfId="0" applyFont="1" applyAlignment="1">
      <alignment vertical="top"/>
    </xf>
    <xf numFmtId="0" fontId="11" fillId="0" borderId="0" xfId="0" applyFont="1" applyAlignment="1">
      <alignment horizontal="left" vertical="top"/>
    </xf>
    <xf numFmtId="0" fontId="11" fillId="0" borderId="1" xfId="0" applyFont="1" applyBorder="1" applyAlignment="1">
      <alignment vertical="top"/>
    </xf>
    <xf numFmtId="0" fontId="11" fillId="0" borderId="0" xfId="0" applyFont="1" applyAlignment="1">
      <alignment horizontal="center" vertical="top"/>
    </xf>
    <xf numFmtId="0" fontId="12" fillId="0" borderId="0" xfId="0" applyFont="1" applyAlignment="1" applyProtection="1">
      <alignment horizontal="left" wrapText="1"/>
      <protection locked="0"/>
    </xf>
    <xf numFmtId="0" fontId="12" fillId="0" borderId="0" xfId="0" applyFont="1" applyAlignment="1">
      <alignment horizontal="center" vertical="top" wrapText="1"/>
    </xf>
    <xf numFmtId="0" fontId="11" fillId="0" borderId="0" xfId="0" applyFont="1" applyAlignment="1">
      <alignment horizontal="left" vertical="top" wrapText="1"/>
    </xf>
    <xf numFmtId="0" fontId="11" fillId="0" borderId="0" xfId="0" applyFont="1" applyAlignment="1" applyProtection="1">
      <alignment vertical="top" wrapText="1"/>
    </xf>
    <xf numFmtId="0" fontId="11" fillId="0" borderId="0" xfId="0" applyFont="1" applyFill="1"/>
    <xf numFmtId="0" fontId="17" fillId="3" borderId="0" xfId="0" applyFont="1" applyFill="1" applyAlignment="1">
      <alignment horizontal="left" wrapText="1"/>
    </xf>
    <xf numFmtId="0" fontId="0" fillId="3" borderId="0" xfId="0" applyFill="1" applyAlignment="1">
      <alignment horizontal="left"/>
    </xf>
    <xf numFmtId="0" fontId="0" fillId="0" borderId="0" xfId="0" applyFill="1" applyAlignment="1">
      <alignment horizontal="left"/>
    </xf>
    <xf numFmtId="0" fontId="0" fillId="0" borderId="0" xfId="0" applyAlignment="1">
      <alignment horizontal="left"/>
    </xf>
    <xf numFmtId="0" fontId="17" fillId="0" borderId="0" xfId="0" applyFont="1" applyFill="1" applyAlignment="1">
      <alignment horizontal="left"/>
    </xf>
    <xf numFmtId="0" fontId="11" fillId="0" borderId="1" xfId="0" applyFont="1" applyFill="1" applyBorder="1" applyAlignment="1">
      <alignment vertical="top" wrapText="1"/>
    </xf>
    <xf numFmtId="0" fontId="1" fillId="4" borderId="2" xfId="0" applyFont="1" applyFill="1" applyBorder="1" applyAlignment="1">
      <alignment horizontal="center" vertical="center" wrapText="1"/>
    </xf>
    <xf numFmtId="0" fontId="11" fillId="0" borderId="1" xfId="0" applyFont="1" applyBorder="1" applyAlignment="1">
      <alignment horizontal="left"/>
    </xf>
    <xf numFmtId="0" fontId="11" fillId="0" borderId="0" xfId="0" applyFont="1" applyBorder="1" applyAlignment="1">
      <alignment horizontal="left"/>
    </xf>
    <xf numFmtId="0" fontId="18" fillId="0" borderId="1" xfId="0" applyFont="1" applyBorder="1"/>
    <xf numFmtId="0" fontId="12" fillId="0" borderId="1" xfId="0" applyFont="1" applyBorder="1" applyAlignment="1">
      <alignment horizontal="left"/>
    </xf>
    <xf numFmtId="0" fontId="1" fillId="4" borderId="1" xfId="0" applyFont="1" applyFill="1" applyBorder="1" applyAlignment="1">
      <alignment horizontal="center" vertical="center" wrapText="1"/>
    </xf>
    <xf numFmtId="0" fontId="1" fillId="4" borderId="2" xfId="0" applyFont="1" applyFill="1" applyBorder="1" applyAlignment="1" applyProtection="1">
      <alignment horizontal="center" vertical="center" wrapText="1"/>
      <protection locked="0"/>
    </xf>
    <xf numFmtId="49" fontId="1" fillId="4" borderId="2" xfId="0" applyNumberFormat="1" applyFont="1" applyFill="1" applyBorder="1" applyAlignment="1" applyProtection="1">
      <alignment horizontal="center" vertical="center" wrapText="1"/>
      <protection locked="0"/>
    </xf>
    <xf numFmtId="0" fontId="2" fillId="0" borderId="0" xfId="0" applyFont="1" applyFill="1" applyAlignment="1">
      <alignment horizontal="center" vertical="center" wrapText="1"/>
    </xf>
    <xf numFmtId="0" fontId="19" fillId="4" borderId="2" xfId="0" applyFont="1" applyFill="1" applyBorder="1" applyAlignment="1" applyProtection="1">
      <alignment horizontal="center" vertical="center" wrapText="1"/>
    </xf>
    <xf numFmtId="0" fontId="11" fillId="0" borderId="0" xfId="0" applyFont="1" applyFill="1" applyBorder="1" applyAlignment="1" applyProtection="1">
      <alignment horizontal="center" vertical="center"/>
      <protection locked="0"/>
    </xf>
    <xf numFmtId="0" fontId="20" fillId="0" borderId="0" xfId="0" applyFont="1" applyAlignment="1">
      <alignment horizontal="left" wrapText="1"/>
    </xf>
    <xf numFmtId="0" fontId="0" fillId="0" borderId="0" xfId="0" applyAlignment="1">
      <alignment wrapText="1"/>
    </xf>
    <xf numFmtId="0" fontId="11" fillId="0" borderId="0" xfId="0" applyFont="1" applyAlignment="1">
      <alignment horizontal="left" wrapText="1"/>
    </xf>
    <xf numFmtId="0" fontId="11" fillId="0" borderId="1" xfId="0" applyFont="1" applyBorder="1" applyAlignment="1" applyProtection="1">
      <alignment horizontal="center"/>
      <protection locked="0"/>
    </xf>
    <xf numFmtId="0" fontId="12" fillId="0" borderId="1" xfId="0" applyFont="1" applyBorder="1" applyAlignment="1" applyProtection="1">
      <alignment horizontal="center" vertical="top" wrapText="1"/>
      <protection locked="0"/>
    </xf>
    <xf numFmtId="0" fontId="14" fillId="0" borderId="1" xfId="0" applyFont="1" applyFill="1" applyBorder="1" applyAlignment="1" applyProtection="1">
      <alignment vertical="top" wrapText="1"/>
      <protection locked="0"/>
    </xf>
    <xf numFmtId="49" fontId="2" fillId="0" borderId="1" xfId="0" applyNumberFormat="1" applyFont="1" applyFill="1" applyBorder="1" applyAlignment="1" applyProtection="1">
      <alignment vertical="top" wrapText="1"/>
      <protection locked="0"/>
    </xf>
    <xf numFmtId="0" fontId="11" fillId="0" borderId="1" xfId="0" applyFont="1" applyFill="1" applyBorder="1" applyAlignment="1" applyProtection="1">
      <alignment horizontal="center"/>
      <protection locked="0"/>
    </xf>
    <xf numFmtId="0" fontId="11" fillId="0" borderId="1" xfId="0" applyFont="1" applyFill="1" applyBorder="1" applyAlignment="1" applyProtection="1">
      <alignment vertical="top" wrapText="1"/>
      <protection locked="0"/>
    </xf>
    <xf numFmtId="0" fontId="11" fillId="0" borderId="1" xfId="0" applyFont="1" applyBorder="1" applyProtection="1">
      <protection locked="0"/>
    </xf>
    <xf numFmtId="0" fontId="11" fillId="0" borderId="1" xfId="0" applyFont="1" applyBorder="1" applyAlignment="1" applyProtection="1">
      <alignment vertical="top"/>
      <protection locked="0"/>
    </xf>
    <xf numFmtId="49" fontId="11" fillId="0" borderId="1" xfId="0" applyNumberFormat="1" applyFont="1" applyFill="1" applyBorder="1" applyAlignment="1" applyProtection="1">
      <alignment vertical="top" wrapText="1"/>
      <protection locked="0"/>
    </xf>
    <xf numFmtId="0" fontId="16" fillId="0" borderId="1" xfId="0" applyFont="1" applyFill="1" applyBorder="1" applyAlignment="1" applyProtection="1">
      <alignment horizontal="center" vertical="center" wrapText="1"/>
      <protection locked="0"/>
    </xf>
    <xf numFmtId="0" fontId="11" fillId="0" borderId="1" xfId="0" applyFont="1" applyBorder="1" applyAlignment="1" applyProtection="1">
      <alignment horizontal="center" vertical="top"/>
      <protection locked="0"/>
    </xf>
    <xf numFmtId="0" fontId="21" fillId="0" borderId="0" xfId="0" applyFont="1"/>
    <xf numFmtId="0" fontId="11" fillId="0" borderId="1" xfId="0" applyFont="1" applyBorder="1" applyAlignment="1">
      <alignment horizontal="center" vertical="top" wrapText="1"/>
    </xf>
    <xf numFmtId="0" fontId="11" fillId="0" borderId="1" xfId="0" applyFont="1" applyBorder="1" applyAlignment="1">
      <alignment vertical="top" wrapText="1"/>
    </xf>
    <xf numFmtId="0" fontId="22" fillId="0" borderId="1" xfId="0" applyFont="1" applyBorder="1" applyAlignment="1">
      <alignment horizontal="center" vertical="top" wrapText="1"/>
    </xf>
    <xf numFmtId="0" fontId="12" fillId="0" borderId="1" xfId="0" applyFont="1" applyBorder="1" applyAlignment="1">
      <alignment horizontal="center" vertical="top" wrapText="1"/>
    </xf>
    <xf numFmtId="0" fontId="12" fillId="0" borderId="1" xfId="0" applyFont="1" applyBorder="1" applyAlignment="1">
      <alignment horizontal="center" vertical="top"/>
    </xf>
    <xf numFmtId="0" fontId="18" fillId="0" borderId="1" xfId="0" applyFont="1" applyBorder="1" applyAlignment="1">
      <alignment vertical="top" wrapText="1"/>
    </xf>
    <xf numFmtId="0" fontId="12" fillId="0" borderId="0" xfId="0" applyFont="1"/>
    <xf numFmtId="0" fontId="12" fillId="0" borderId="1" xfId="0" applyFont="1" applyFill="1" applyBorder="1" applyAlignment="1">
      <alignment horizontal="center" vertical="top" wrapText="1"/>
    </xf>
    <xf numFmtId="0" fontId="11" fillId="0" borderId="1" xfId="0" applyFont="1" applyFill="1" applyBorder="1" applyAlignment="1">
      <alignment horizontal="center" vertical="center"/>
    </xf>
    <xf numFmtId="0" fontId="11" fillId="0" borderId="1" xfId="0" applyFont="1" applyFill="1" applyBorder="1" applyAlignment="1" applyProtection="1">
      <alignment horizontal="center" vertical="center" wrapText="1"/>
      <protection locked="0"/>
    </xf>
    <xf numFmtId="0" fontId="11" fillId="0" borderId="1" xfId="0" applyFont="1" applyFill="1" applyBorder="1" applyAlignment="1" applyProtection="1">
      <alignment horizontal="center" vertical="center"/>
      <protection locked="0"/>
    </xf>
    <xf numFmtId="0" fontId="11" fillId="0" borderId="0" xfId="0" applyFont="1" applyFill="1" applyBorder="1" applyAlignment="1">
      <alignment horizontal="center" vertical="center"/>
    </xf>
    <xf numFmtId="0" fontId="11" fillId="0" borderId="0" xfId="0" applyFont="1" applyBorder="1" applyAlignment="1">
      <alignment horizontal="center" vertical="center"/>
    </xf>
    <xf numFmtId="0" fontId="14" fillId="0" borderId="1" xfId="0" applyFont="1" applyFill="1" applyBorder="1" applyAlignment="1" applyProtection="1">
      <alignment vertical="top" wrapText="1"/>
    </xf>
    <xf numFmtId="0" fontId="2" fillId="0" borderId="1" xfId="0" applyFont="1" applyFill="1" applyBorder="1" applyAlignment="1" applyProtection="1">
      <alignment vertical="top" wrapText="1"/>
    </xf>
    <xf numFmtId="0" fontId="22" fillId="5" borderId="1" xfId="0" applyFont="1" applyFill="1" applyBorder="1" applyAlignment="1">
      <alignment horizontal="center" vertical="top" wrapText="1"/>
    </xf>
    <xf numFmtId="0" fontId="12" fillId="5" borderId="1" xfId="0" applyFont="1" applyFill="1" applyBorder="1" applyAlignment="1" applyProtection="1">
      <alignment horizontal="center" vertical="top" wrapText="1"/>
      <protection locked="0"/>
    </xf>
    <xf numFmtId="0" fontId="22" fillId="5" borderId="1" xfId="0" applyFont="1" applyFill="1" applyBorder="1" applyAlignment="1">
      <alignment vertical="top" wrapText="1"/>
    </xf>
    <xf numFmtId="0" fontId="14" fillId="5" borderId="1" xfId="0" applyFont="1" applyFill="1" applyBorder="1" applyAlignment="1" applyProtection="1">
      <alignment vertical="top" wrapText="1"/>
      <protection locked="0"/>
    </xf>
    <xf numFmtId="49" fontId="2" fillId="5" borderId="1" xfId="0" applyNumberFormat="1" applyFont="1" applyFill="1" applyBorder="1" applyAlignment="1" applyProtection="1">
      <alignment vertical="top" wrapText="1"/>
      <protection locked="0"/>
    </xf>
    <xf numFmtId="0" fontId="12" fillId="5" borderId="1" xfId="0" applyFont="1" applyFill="1" applyBorder="1" applyAlignment="1" applyProtection="1">
      <alignment horizontal="left" vertical="top" wrapText="1"/>
      <protection locked="0"/>
    </xf>
    <xf numFmtId="0" fontId="11" fillId="5" borderId="1" xfId="0" applyFont="1" applyFill="1" applyBorder="1" applyProtection="1">
      <protection locked="0"/>
    </xf>
    <xf numFmtId="0" fontId="11" fillId="5" borderId="1" xfId="0" applyFont="1" applyFill="1" applyBorder="1" applyAlignment="1" applyProtection="1">
      <alignment horizontal="center" vertical="center"/>
      <protection locked="0"/>
    </xf>
    <xf numFmtId="0" fontId="11" fillId="5" borderId="1" xfId="0" applyFont="1" applyFill="1" applyBorder="1" applyAlignment="1" applyProtection="1">
      <alignment vertical="top" wrapText="1"/>
      <protection locked="0"/>
    </xf>
    <xf numFmtId="0" fontId="11" fillId="5" borderId="1" xfId="0" applyFont="1" applyFill="1" applyBorder="1" applyAlignment="1" applyProtection="1">
      <alignment vertical="top"/>
      <protection locked="0"/>
    </xf>
    <xf numFmtId="0" fontId="11" fillId="5" borderId="1" xfId="0" applyFont="1" applyFill="1" applyBorder="1" applyAlignment="1" applyProtection="1">
      <alignment horizontal="center"/>
      <protection locked="0"/>
    </xf>
    <xf numFmtId="0" fontId="11" fillId="5" borderId="1" xfId="0" applyFont="1" applyFill="1" applyBorder="1" applyAlignment="1">
      <alignment vertical="top"/>
    </xf>
    <xf numFmtId="0" fontId="11" fillId="5" borderId="1" xfId="0" applyFont="1" applyFill="1" applyBorder="1" applyAlignment="1">
      <alignment horizontal="center" vertical="top" wrapText="1"/>
    </xf>
    <xf numFmtId="0" fontId="12" fillId="5" borderId="1" xfId="0" applyFont="1" applyFill="1" applyBorder="1" applyAlignment="1">
      <alignment horizontal="center" vertical="top" wrapText="1"/>
    </xf>
    <xf numFmtId="0" fontId="11" fillId="5" borderId="1" xfId="0" applyFont="1" applyFill="1" applyBorder="1" applyAlignment="1">
      <alignment vertical="top" wrapText="1"/>
    </xf>
    <xf numFmtId="0" fontId="2" fillId="5" borderId="1" xfId="0" applyFont="1" applyFill="1" applyBorder="1" applyAlignment="1" applyProtection="1">
      <alignment vertical="top" wrapText="1"/>
    </xf>
    <xf numFmtId="0" fontId="11" fillId="5" borderId="1" xfId="0" applyFont="1" applyFill="1" applyBorder="1" applyAlignment="1" applyProtection="1">
      <alignment horizontal="left" vertical="top" wrapText="1"/>
      <protection locked="0"/>
    </xf>
    <xf numFmtId="0" fontId="11" fillId="5" borderId="1" xfId="0" applyFont="1" applyFill="1" applyBorder="1" applyAlignment="1">
      <alignment horizontal="center" vertical="center"/>
    </xf>
    <xf numFmtId="0" fontId="13"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vertical="top" wrapText="1"/>
    </xf>
    <xf numFmtId="0" fontId="11" fillId="5" borderId="1" xfId="0" applyFont="1" applyFill="1" applyBorder="1" applyAlignment="1" applyProtection="1">
      <alignment horizontal="center" vertical="center" wrapText="1"/>
      <protection locked="0"/>
    </xf>
    <xf numFmtId="0" fontId="18" fillId="5" borderId="1" xfId="0" applyFont="1" applyFill="1" applyBorder="1" applyAlignment="1">
      <alignment vertical="top" wrapText="1"/>
    </xf>
    <xf numFmtId="0" fontId="2" fillId="5" borderId="1" xfId="0" applyFont="1" applyFill="1" applyBorder="1" applyAlignment="1" applyProtection="1">
      <alignment vertical="top" wrapText="1"/>
      <protection locked="0"/>
    </xf>
    <xf numFmtId="0" fontId="11" fillId="5" borderId="1" xfId="0" applyFont="1" applyFill="1" applyBorder="1" applyAlignment="1">
      <alignment wrapText="1"/>
    </xf>
    <xf numFmtId="0" fontId="13" fillId="0" borderId="1" xfId="0" applyFont="1" applyFill="1" applyBorder="1" applyAlignment="1" applyProtection="1">
      <alignment vertical="top" wrapText="1"/>
      <protection locked="0"/>
    </xf>
    <xf numFmtId="0" fontId="16" fillId="5" borderId="1" xfId="0" applyFont="1" applyFill="1" applyBorder="1" applyAlignment="1" applyProtection="1">
      <alignment horizontal="center" vertical="center" wrapText="1"/>
      <protection locked="0"/>
    </xf>
    <xf numFmtId="0" fontId="10" fillId="0" borderId="0" xfId="0" applyFont="1"/>
    <xf numFmtId="0" fontId="11" fillId="0" borderId="1" xfId="0" applyFont="1" applyBorder="1" applyAlignment="1" applyProtection="1">
      <alignment vertical="top" wrapText="1"/>
    </xf>
    <xf numFmtId="0" fontId="11" fillId="0" borderId="1" xfId="0" applyFont="1" applyFill="1" applyBorder="1" applyAlignment="1">
      <alignment horizontal="center"/>
    </xf>
    <xf numFmtId="49" fontId="12" fillId="5" borderId="1" xfId="0" applyNumberFormat="1" applyFont="1" applyFill="1" applyBorder="1" applyAlignment="1" applyProtection="1">
      <alignment vertical="top" wrapText="1"/>
      <protection locked="0"/>
    </xf>
    <xf numFmtId="0" fontId="16" fillId="5" borderId="1" xfId="0" applyFont="1" applyFill="1" applyBorder="1" applyAlignment="1" applyProtection="1">
      <alignment horizontal="left" vertical="top" wrapText="1"/>
      <protection locked="0"/>
    </xf>
    <xf numFmtId="0" fontId="1" fillId="4" borderId="2" xfId="0" applyFont="1" applyFill="1" applyBorder="1" applyAlignment="1" applyProtection="1">
      <alignment horizontal="center" vertical="center" wrapText="1"/>
    </xf>
    <xf numFmtId="0" fontId="19" fillId="4" borderId="2" xfId="0" applyFont="1" applyFill="1" applyBorder="1" applyAlignment="1" applyProtection="1">
      <alignment horizontal="center" vertical="center" wrapText="1"/>
      <protection locked="0"/>
    </xf>
    <xf numFmtId="0" fontId="11" fillId="0" borderId="1" xfId="0" applyFont="1" applyFill="1" applyBorder="1" applyAlignment="1" applyProtection="1">
      <alignment vertical="top" wrapText="1"/>
    </xf>
    <xf numFmtId="0" fontId="11" fillId="5" borderId="1" xfId="0" applyFont="1" applyFill="1" applyBorder="1" applyAlignment="1" applyProtection="1">
      <alignment vertical="top" wrapText="1"/>
    </xf>
    <xf numFmtId="0" fontId="12" fillId="5" borderId="1" xfId="0" applyFont="1" applyFill="1" applyBorder="1" applyAlignment="1" applyProtection="1">
      <alignment vertical="top" wrapText="1"/>
    </xf>
    <xf numFmtId="0" fontId="11" fillId="0" borderId="1" xfId="0" applyFont="1" applyBorder="1" applyAlignment="1">
      <alignment horizontal="left" vertical="top" wrapText="1"/>
    </xf>
    <xf numFmtId="0" fontId="13" fillId="0" borderId="1" xfId="0" applyFont="1" applyFill="1" applyBorder="1" applyAlignment="1" applyProtection="1">
      <alignment vertical="top" wrapText="1"/>
    </xf>
    <xf numFmtId="0" fontId="2" fillId="5" borderId="1" xfId="0" applyFont="1" applyFill="1" applyBorder="1" applyAlignment="1">
      <alignment vertical="top" wrapText="1"/>
    </xf>
    <xf numFmtId="0" fontId="11" fillId="0" borderId="1" xfId="0" applyFont="1" applyBorder="1" applyAlignment="1" applyProtection="1">
      <alignment vertical="top" wrapText="1"/>
      <protection locked="0"/>
    </xf>
    <xf numFmtId="0" fontId="11" fillId="0" borderId="1" xfId="0" applyFont="1" applyBorder="1" applyAlignment="1" applyProtection="1">
      <alignment horizontal="left" vertical="top" wrapText="1"/>
      <protection locked="0"/>
    </xf>
    <xf numFmtId="0" fontId="16" fillId="0" borderId="1" xfId="0" applyFont="1" applyFill="1" applyBorder="1" applyAlignment="1" applyProtection="1">
      <alignment horizontal="left" vertical="top" wrapText="1"/>
      <protection locked="0"/>
    </xf>
    <xf numFmtId="0" fontId="11" fillId="0" borderId="1" xfId="0" applyFont="1" applyBorder="1" applyAlignment="1">
      <alignment horizontal="center" vertical="top"/>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49" fontId="2" fillId="4" borderId="2" xfId="0" applyNumberFormat="1" applyFont="1" applyFill="1" applyBorder="1" applyAlignment="1" applyProtection="1">
      <alignment horizontal="left" vertical="top" wrapText="1"/>
      <protection locked="0"/>
    </xf>
    <xf numFmtId="0" fontId="2" fillId="4" borderId="2" xfId="0" applyFont="1" applyFill="1" applyBorder="1" applyAlignment="1" applyProtection="1">
      <alignment horizontal="center" vertical="top" wrapText="1"/>
      <protection locked="0"/>
    </xf>
    <xf numFmtId="0" fontId="1" fillId="4" borderId="2" xfId="0" applyFont="1" applyFill="1" applyBorder="1" applyAlignment="1">
      <alignment horizontal="left" vertical="top" wrapText="1"/>
    </xf>
    <xf numFmtId="0" fontId="2" fillId="4" borderId="2" xfId="0" applyFont="1" applyFill="1" applyBorder="1" applyAlignment="1" applyProtection="1">
      <alignment horizontal="left" vertical="top" wrapText="1"/>
      <protection locked="0"/>
    </xf>
    <xf numFmtId="0" fontId="23" fillId="4" borderId="2" xfId="0" applyFont="1" applyFill="1" applyBorder="1" applyAlignment="1" applyProtection="1">
      <alignment horizontal="left" vertical="top" wrapText="1"/>
    </xf>
    <xf numFmtId="0" fontId="2" fillId="4" borderId="2" xfId="0" applyFont="1" applyFill="1" applyBorder="1" applyAlignment="1" applyProtection="1">
      <alignment horizontal="left" vertical="top" wrapText="1"/>
    </xf>
    <xf numFmtId="0" fontId="23" fillId="4" borderId="2" xfId="0" applyFont="1" applyFill="1" applyBorder="1" applyAlignment="1" applyProtection="1">
      <alignment horizontal="left" vertical="top" wrapText="1"/>
      <protection locked="0"/>
    </xf>
    <xf numFmtId="0" fontId="2" fillId="0" borderId="0" xfId="0" applyFont="1" applyFill="1" applyAlignment="1">
      <alignment horizontal="left" vertical="top" wrapText="1"/>
    </xf>
    <xf numFmtId="0" fontId="11" fillId="3" borderId="1" xfId="0" applyFont="1" applyFill="1" applyBorder="1" applyAlignment="1">
      <alignment vertical="top" wrapText="1"/>
    </xf>
    <xf numFmtId="49" fontId="12" fillId="5" borderId="1" xfId="0" applyNumberFormat="1" applyFont="1" applyFill="1" applyBorder="1" applyAlignment="1" applyProtection="1">
      <alignment horizontal="left" vertical="top" wrapText="1"/>
      <protection locked="0"/>
    </xf>
    <xf numFmtId="0" fontId="13" fillId="5" borderId="1" xfId="0" applyFont="1" applyFill="1" applyBorder="1" applyAlignment="1">
      <alignment horizontal="center" vertical="top" wrapText="1"/>
    </xf>
    <xf numFmtId="49" fontId="15" fillId="5" borderId="1" xfId="1" applyNumberFormat="1" applyFont="1" applyFill="1" applyBorder="1" applyAlignment="1" applyProtection="1">
      <alignment vertical="top" wrapText="1"/>
      <protection locked="0"/>
    </xf>
    <xf numFmtId="0" fontId="15" fillId="5" borderId="1" xfId="1" applyFont="1" applyFill="1" applyBorder="1" applyAlignment="1" applyProtection="1">
      <alignment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center" vertical="top"/>
      <protection locked="0"/>
    </xf>
    <xf numFmtId="49" fontId="11" fillId="6" borderId="1" xfId="0" applyNumberFormat="1" applyFont="1" applyFill="1" applyBorder="1" applyAlignment="1">
      <alignment horizontal="left" vertical="top" wrapText="1"/>
    </xf>
    <xf numFmtId="0" fontId="2" fillId="5" borderId="1" xfId="0" applyFont="1" applyFill="1" applyBorder="1" applyAlignment="1">
      <alignment horizontal="center" vertical="top" wrapText="1"/>
    </xf>
    <xf numFmtId="49" fontId="11" fillId="5" borderId="1" xfId="0" applyNumberFormat="1" applyFont="1" applyFill="1" applyBorder="1" applyAlignment="1">
      <alignment horizontal="left" vertical="top" wrapText="1"/>
    </xf>
    <xf numFmtId="0" fontId="11" fillId="6" borderId="1" xfId="0" applyFont="1" applyFill="1" applyBorder="1" applyAlignment="1" applyProtection="1">
      <alignment horizontal="left" vertical="top" wrapText="1"/>
      <protection locked="0"/>
    </xf>
    <xf numFmtId="0" fontId="11" fillId="5" borderId="1" xfId="0" applyFont="1" applyFill="1" applyBorder="1" applyAlignment="1" applyProtection="1">
      <alignment horizontal="left" vertical="top"/>
      <protection locked="0"/>
    </xf>
    <xf numFmtId="0" fontId="11" fillId="0" borderId="1" xfId="0" applyFont="1" applyFill="1" applyBorder="1" applyAlignment="1" applyProtection="1">
      <alignment vertical="top" wrapText="1"/>
      <protection locked="0"/>
    </xf>
    <xf numFmtId="0" fontId="11" fillId="5" borderId="1" xfId="0" applyFont="1" applyFill="1" applyBorder="1" applyAlignment="1" applyProtection="1">
      <alignment vertical="top" wrapText="1"/>
      <protection locked="0"/>
    </xf>
    <xf numFmtId="0" fontId="11" fillId="5" borderId="1" xfId="0" applyFont="1" applyFill="1" applyBorder="1" applyAlignment="1" applyProtection="1">
      <alignment vertical="top"/>
      <protection locked="0"/>
    </xf>
    <xf numFmtId="0" fontId="2" fillId="5" borderId="1" xfId="0" applyFont="1" applyFill="1" applyBorder="1" applyAlignment="1" applyProtection="1">
      <alignment vertical="top" wrapText="1"/>
      <protection locked="0"/>
    </xf>
    <xf numFmtId="0" fontId="11" fillId="5" borderId="1" xfId="0" applyFont="1" applyFill="1" applyBorder="1" applyAlignment="1">
      <alignment horizontal="center" vertical="top" wrapText="1"/>
    </xf>
    <xf numFmtId="0" fontId="11" fillId="6" borderId="1" xfId="0" applyFont="1" applyFill="1" applyBorder="1" applyAlignment="1" applyProtection="1">
      <alignment vertical="top" wrapText="1"/>
      <protection locked="0"/>
    </xf>
    <xf numFmtId="0" fontId="2" fillId="6" borderId="1" xfId="0" applyFont="1" applyFill="1" applyBorder="1" applyAlignment="1" applyProtection="1">
      <alignment vertical="top" wrapText="1"/>
      <protection locked="0"/>
    </xf>
    <xf numFmtId="0" fontId="11" fillId="0" borderId="1" xfId="0" applyFont="1" applyBorder="1" applyAlignment="1">
      <alignment vertical="top" wrapText="1"/>
    </xf>
    <xf numFmtId="0" fontId="11" fillId="0" borderId="1" xfId="0" applyFont="1" applyFill="1" applyBorder="1" applyAlignment="1">
      <alignment vertical="top" wrapText="1"/>
    </xf>
    <xf numFmtId="0" fontId="2" fillId="4" borderId="1" xfId="0" applyFont="1" applyFill="1" applyBorder="1" applyAlignment="1">
      <alignment horizontal="right" wrapText="1"/>
    </xf>
    <xf numFmtId="0" fontId="11" fillId="0" borderId="0" xfId="0" applyFont="1" applyFill="1" applyBorder="1" applyAlignment="1" applyProtection="1">
      <alignment horizontal="center" vertical="top"/>
      <protection locked="0"/>
    </xf>
    <xf numFmtId="0" fontId="12" fillId="0" borderId="0" xfId="0" applyFont="1" applyFill="1" applyBorder="1" applyAlignment="1" applyProtection="1">
      <alignment horizontal="center" vertical="top" wrapText="1"/>
      <protection locked="0"/>
    </xf>
    <xf numFmtId="0" fontId="21" fillId="0" borderId="0" xfId="0" applyFont="1" applyFill="1"/>
    <xf numFmtId="0" fontId="11" fillId="0" borderId="0" xfId="0" applyFont="1" applyFill="1" applyBorder="1" applyAlignment="1" applyProtection="1">
      <alignment horizontal="center" vertical="top" wrapText="1"/>
      <protection locked="0"/>
    </xf>
    <xf numFmtId="0" fontId="11" fillId="0" borderId="0" xfId="0" applyFont="1" applyFill="1" applyAlignment="1">
      <alignment horizontal="left" vertical="top" wrapText="1"/>
    </xf>
    <xf numFmtId="0" fontId="11" fillId="0" borderId="1" xfId="0" applyFont="1" applyFill="1" applyBorder="1" applyAlignment="1" applyProtection="1">
      <alignment horizontal="center" vertical="top"/>
      <protection locked="0"/>
    </xf>
    <xf numFmtId="0" fontId="7" fillId="0" borderId="0" xfId="1" applyFont="1" applyAlignment="1" applyProtection="1">
      <alignment horizontal="center" vertical="top"/>
    </xf>
    <xf numFmtId="0" fontId="11" fillId="5" borderId="1" xfId="0" applyFont="1" applyFill="1" applyBorder="1" applyAlignment="1" applyProtection="1">
      <alignment horizontal="center" vertical="top"/>
      <protection locked="0"/>
    </xf>
    <xf numFmtId="0" fontId="11" fillId="5" borderId="1" xfId="0" applyFont="1" applyFill="1" applyBorder="1" applyAlignment="1" applyProtection="1">
      <alignment horizontal="center" vertical="top" wrapText="1"/>
      <protection locked="0"/>
    </xf>
    <xf numFmtId="0" fontId="11" fillId="0" borderId="0" xfId="0" applyFont="1" applyFill="1" applyAlignment="1">
      <alignment horizontal="center" vertical="top"/>
    </xf>
    <xf numFmtId="0" fontId="11" fillId="0" borderId="1" xfId="0" applyFont="1" applyFill="1" applyBorder="1" applyAlignment="1">
      <alignment horizontal="center" vertical="top"/>
    </xf>
    <xf numFmtId="0" fontId="11" fillId="5" borderId="1" xfId="0" applyFont="1" applyFill="1" applyBorder="1" applyAlignment="1">
      <alignment horizontal="center" vertical="top"/>
    </xf>
    <xf numFmtId="0" fontId="11" fillId="0" borderId="1" xfId="0" applyFont="1" applyFill="1" applyBorder="1" applyAlignment="1" applyProtection="1">
      <alignment horizontal="center" vertical="top" wrapText="1"/>
      <protection locked="0"/>
    </xf>
    <xf numFmtId="0" fontId="11" fillId="0" borderId="0" xfId="0" applyFont="1" applyFill="1" applyBorder="1" applyAlignment="1">
      <alignment horizontal="center" vertical="top"/>
    </xf>
    <xf numFmtId="0" fontId="11" fillId="0" borderId="0" xfId="0" applyFont="1" applyBorder="1" applyAlignment="1">
      <alignment horizontal="center" vertical="top"/>
    </xf>
    <xf numFmtId="49" fontId="2" fillId="4" borderId="2" xfId="0" applyNumberFormat="1" applyFont="1" applyFill="1" applyBorder="1" applyAlignment="1" applyProtection="1">
      <alignment horizontal="center" vertical="top" wrapText="1"/>
      <protection locked="0"/>
    </xf>
    <xf numFmtId="49" fontId="2" fillId="0" borderId="1" xfId="0" applyNumberFormat="1" applyFont="1" applyFill="1" applyBorder="1" applyAlignment="1" applyProtection="1">
      <alignment horizontal="center" vertical="top" wrapText="1"/>
      <protection locked="0"/>
    </xf>
    <xf numFmtId="49" fontId="11" fillId="0" borderId="1" xfId="0" applyNumberFormat="1" applyFont="1" applyFill="1" applyBorder="1" applyAlignment="1" applyProtection="1">
      <alignment horizontal="center" vertical="top" wrapText="1"/>
      <protection locked="0"/>
    </xf>
    <xf numFmtId="49" fontId="11" fillId="5" borderId="1" xfId="0" applyNumberFormat="1" applyFont="1" applyFill="1" applyBorder="1" applyAlignment="1" applyProtection="1">
      <alignment horizontal="center" vertical="top" wrapText="1"/>
      <protection locked="0"/>
    </xf>
    <xf numFmtId="49" fontId="7" fillId="0" borderId="1" xfId="1" applyNumberFormat="1" applyFont="1" applyFill="1" applyBorder="1" applyAlignment="1" applyProtection="1">
      <alignment horizontal="center" vertical="top" wrapText="1"/>
      <protection locked="0"/>
    </xf>
    <xf numFmtId="49" fontId="2" fillId="0" borderId="1" xfId="1" applyNumberFormat="1" applyFont="1" applyFill="1" applyBorder="1" applyAlignment="1" applyProtection="1">
      <alignment horizontal="center" vertical="top" wrapText="1"/>
      <protection locked="0"/>
    </xf>
    <xf numFmtId="49" fontId="2" fillId="5" borderId="1" xfId="1" applyNumberFormat="1" applyFont="1" applyFill="1" applyBorder="1" applyAlignment="1" applyProtection="1">
      <alignment horizontal="center" vertical="top" wrapText="1"/>
      <protection locked="0"/>
    </xf>
    <xf numFmtId="49" fontId="2" fillId="5" borderId="1" xfId="0" applyNumberFormat="1" applyFont="1" applyFill="1" applyBorder="1" applyAlignment="1" applyProtection="1">
      <alignment horizontal="center" vertical="top" wrapText="1"/>
      <protection locked="0"/>
    </xf>
    <xf numFmtId="49" fontId="15" fillId="0" borderId="1" xfId="1" applyNumberFormat="1" applyFont="1" applyFill="1" applyBorder="1" applyAlignment="1" applyProtection="1">
      <alignment horizontal="center" vertical="top" wrapText="1"/>
      <protection locked="0"/>
    </xf>
    <xf numFmtId="49" fontId="12" fillId="5" borderId="1" xfId="0" applyNumberFormat="1" applyFont="1" applyFill="1" applyBorder="1" applyAlignment="1" applyProtection="1">
      <alignment horizontal="center" vertical="top" wrapText="1"/>
      <protection locked="0"/>
    </xf>
    <xf numFmtId="49" fontId="14" fillId="0" borderId="1" xfId="1" applyNumberFormat="1" applyFont="1" applyFill="1" applyBorder="1" applyAlignment="1" applyProtection="1">
      <alignment horizontal="center" vertical="top" wrapText="1"/>
      <protection locked="0"/>
    </xf>
    <xf numFmtId="49" fontId="12" fillId="0" borderId="1" xfId="0" applyNumberFormat="1" applyFont="1" applyFill="1" applyBorder="1" applyAlignment="1" applyProtection="1">
      <alignment horizontal="center" vertical="top" wrapText="1"/>
      <protection locked="0"/>
    </xf>
    <xf numFmtId="49" fontId="2" fillId="0" borderId="0" xfId="0" applyNumberFormat="1" applyFont="1" applyFill="1" applyBorder="1" applyAlignment="1" applyProtection="1">
      <alignment horizontal="center" vertical="top" wrapText="1"/>
      <protection locked="0"/>
    </xf>
    <xf numFmtId="49" fontId="12" fillId="0" borderId="0" xfId="0" applyNumberFormat="1" applyFont="1" applyFill="1" applyBorder="1" applyAlignment="1" applyProtection="1">
      <alignment horizontal="center" vertical="top" wrapText="1"/>
      <protection locked="0"/>
    </xf>
    <xf numFmtId="49" fontId="15" fillId="0" borderId="0" xfId="1" applyNumberFormat="1" applyFont="1" applyFill="1" applyBorder="1" applyAlignment="1" applyProtection="1">
      <alignment horizontal="center" vertical="top" wrapText="1"/>
      <protection locked="0"/>
    </xf>
    <xf numFmtId="49" fontId="14" fillId="0" borderId="0" xfId="1" applyNumberFormat="1" applyFont="1" applyFill="1" applyBorder="1" applyAlignment="1" applyProtection="1">
      <alignment horizontal="center" vertical="top" wrapText="1"/>
      <protection locked="0"/>
    </xf>
    <xf numFmtId="49" fontId="11" fillId="0" borderId="0" xfId="0" applyNumberFormat="1" applyFont="1" applyFill="1" applyBorder="1" applyAlignment="1" applyProtection="1">
      <alignment horizontal="center" vertical="top"/>
      <protection locked="0"/>
    </xf>
    <xf numFmtId="49" fontId="11" fillId="0" borderId="0" xfId="0" applyNumberFormat="1" applyFont="1" applyFill="1" applyBorder="1" applyAlignment="1" applyProtection="1">
      <alignment horizontal="center" vertical="top" wrapText="1"/>
      <protection locked="0"/>
    </xf>
    <xf numFmtId="49" fontId="11" fillId="0" borderId="0" xfId="0" applyNumberFormat="1" applyFont="1" applyBorder="1" applyAlignment="1" applyProtection="1">
      <alignment horizontal="center" vertical="top" wrapText="1"/>
      <protection locked="0"/>
    </xf>
    <xf numFmtId="0" fontId="0" fillId="0" borderId="1" xfId="0" applyBorder="1"/>
    <xf numFmtId="49" fontId="7" fillId="0" borderId="1" xfId="1" applyNumberFormat="1" applyFill="1" applyBorder="1" applyAlignment="1" applyProtection="1">
      <alignment horizontal="center" vertical="top" wrapText="1"/>
      <protection locked="0"/>
    </xf>
    <xf numFmtId="0" fontId="25" fillId="0" borderId="0" xfId="0" applyFont="1"/>
    <xf numFmtId="0" fontId="11" fillId="7" borderId="1" xfId="0" applyFont="1" applyFill="1" applyBorder="1" applyAlignment="1">
      <alignment vertical="top" wrapText="1"/>
    </xf>
    <xf numFmtId="0" fontId="11" fillId="7" borderId="1" xfId="0" applyFont="1" applyFill="1" applyBorder="1" applyAlignment="1" applyProtection="1">
      <alignment vertical="top" wrapText="1"/>
      <protection locked="0"/>
    </xf>
    <xf numFmtId="0" fontId="2" fillId="7" borderId="1" xfId="0" applyFont="1" applyFill="1" applyBorder="1" applyAlignment="1" applyProtection="1">
      <alignment vertical="top" wrapText="1"/>
      <protection locked="0"/>
    </xf>
    <xf numFmtId="0" fontId="11" fillId="3" borderId="1" xfId="0" applyFont="1" applyFill="1" applyBorder="1" applyAlignment="1">
      <alignment vertical="top"/>
    </xf>
    <xf numFmtId="0" fontId="11" fillId="3" borderId="1" xfId="0" applyFont="1" applyFill="1" applyBorder="1" applyAlignment="1">
      <alignment horizontal="center" vertical="top" wrapText="1"/>
    </xf>
    <xf numFmtId="0" fontId="12" fillId="3" borderId="1" xfId="0" applyFont="1" applyFill="1" applyBorder="1" applyAlignment="1">
      <alignment horizontal="center" vertical="top" wrapText="1"/>
    </xf>
    <xf numFmtId="0" fontId="14" fillId="3" borderId="1" xfId="0" applyFont="1" applyFill="1" applyBorder="1" applyAlignment="1" applyProtection="1">
      <alignment vertical="top" wrapText="1"/>
    </xf>
    <xf numFmtId="49" fontId="11" fillId="3" borderId="1" xfId="0" applyNumberFormat="1" applyFont="1" applyFill="1" applyBorder="1" applyAlignment="1">
      <alignment horizontal="left" vertical="top" wrapText="1"/>
    </xf>
    <xf numFmtId="49" fontId="11" fillId="3" borderId="1" xfId="0" applyNumberFormat="1" applyFont="1" applyFill="1" applyBorder="1" applyAlignment="1" applyProtection="1">
      <alignment vertical="top" wrapText="1"/>
      <protection locked="0"/>
    </xf>
    <xf numFmtId="0" fontId="11" fillId="3" borderId="1" xfId="0" applyFont="1" applyFill="1" applyBorder="1" applyAlignment="1">
      <alignment horizontal="center" vertical="top"/>
    </xf>
    <xf numFmtId="0" fontId="13" fillId="3" borderId="1" xfId="0" applyFont="1" applyFill="1" applyBorder="1" applyAlignment="1" applyProtection="1">
      <alignment horizontal="center" vertical="center"/>
      <protection locked="0"/>
    </xf>
    <xf numFmtId="0" fontId="11" fillId="3" borderId="1" xfId="0" applyFont="1" applyFill="1" applyBorder="1"/>
    <xf numFmtId="0" fontId="11" fillId="3" borderId="1" xfId="0" applyFont="1" applyFill="1" applyBorder="1" applyAlignment="1" applyProtection="1">
      <alignment vertical="top" wrapText="1"/>
      <protection locked="0"/>
    </xf>
    <xf numFmtId="14" fontId="11" fillId="0" borderId="1" xfId="2" applyNumberFormat="1" applyFont="1" applyBorder="1" applyAlignment="1" applyProtection="1">
      <alignment horizontal="center" vertical="top" wrapText="1"/>
      <protection locked="0"/>
    </xf>
    <xf numFmtId="0" fontId="11" fillId="0" borderId="1" xfId="2" applyFont="1" applyBorder="1" applyAlignment="1">
      <alignment vertical="top" wrapText="1"/>
    </xf>
    <xf numFmtId="0" fontId="1" fillId="8" borderId="1" xfId="0" applyFont="1" applyFill="1" applyBorder="1" applyAlignment="1">
      <alignment horizontal="center" vertical="center" wrapText="1"/>
    </xf>
    <xf numFmtId="0" fontId="13" fillId="9" borderId="1" xfId="0" applyFont="1" applyFill="1" applyBorder="1" applyAlignment="1" applyProtection="1">
      <alignment vertical="top" wrapText="1"/>
      <protection locked="0"/>
    </xf>
    <xf numFmtId="0" fontId="2" fillId="0" borderId="1" xfId="0" applyFont="1" applyFill="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49" fontId="11" fillId="0" borderId="1" xfId="0" applyNumberFormat="1" applyFont="1" applyBorder="1" applyAlignment="1">
      <alignment horizontal="left" vertical="top" wrapText="1"/>
    </xf>
    <xf numFmtId="0" fontId="2" fillId="0" borderId="1" xfId="0" applyFont="1" applyBorder="1" applyAlignment="1" applyProtection="1">
      <alignment vertical="top" wrapText="1"/>
      <protection locked="0"/>
    </xf>
    <xf numFmtId="49" fontId="2" fillId="0" borderId="1" xfId="0" applyNumberFormat="1" applyFont="1" applyBorder="1" applyAlignment="1" applyProtection="1">
      <alignment vertical="top" wrapText="1"/>
      <protection locked="0"/>
    </xf>
    <xf numFmtId="0" fontId="2" fillId="9" borderId="1" xfId="0" applyFont="1" applyFill="1" applyBorder="1" applyAlignment="1" applyProtection="1">
      <alignment vertical="top" wrapText="1"/>
      <protection locked="0"/>
    </xf>
    <xf numFmtId="49" fontId="11" fillId="0" borderId="0" xfId="0" applyNumberFormat="1" applyFont="1"/>
    <xf numFmtId="14" fontId="11" fillId="0" borderId="0" xfId="0" applyNumberFormat="1" applyFont="1" applyAlignment="1">
      <alignment horizontal="left"/>
    </xf>
    <xf numFmtId="0" fontId="16" fillId="0" borderId="0" xfId="0" applyFont="1"/>
    <xf numFmtId="14" fontId="16" fillId="0" borderId="0" xfId="0" applyNumberFormat="1" applyFont="1" applyAlignment="1">
      <alignment horizontal="left"/>
    </xf>
    <xf numFmtId="0" fontId="12" fillId="0" borderId="1" xfId="0" applyFont="1" applyBorder="1"/>
    <xf numFmtId="0" fontId="13" fillId="0" borderId="0" xfId="0" applyFont="1"/>
    <xf numFmtId="0" fontId="18" fillId="0" borderId="0" xfId="0" applyFont="1"/>
    <xf numFmtId="0" fontId="13" fillId="0" borderId="4" xfId="0" applyFont="1" applyBorder="1" applyAlignment="1">
      <alignment horizontal="left"/>
    </xf>
    <xf numFmtId="0" fontId="11" fillId="0" borderId="0" xfId="0" applyFont="1" applyAlignment="1">
      <alignment horizontal="left" indent="5"/>
    </xf>
    <xf numFmtId="0" fontId="1" fillId="4" borderId="1" xfId="2" applyFont="1" applyFill="1" applyBorder="1" applyAlignment="1">
      <alignment horizontal="center" vertical="top" wrapText="1"/>
    </xf>
    <xf numFmtId="0" fontId="1" fillId="4" borderId="1" xfId="2" applyFont="1" applyFill="1" applyBorder="1" applyAlignment="1">
      <alignment vertical="top" wrapText="1"/>
    </xf>
    <xf numFmtId="0" fontId="1" fillId="4" borderId="3" xfId="2" applyFont="1" applyFill="1" applyBorder="1" applyAlignment="1">
      <alignment vertical="top" wrapText="1"/>
    </xf>
    <xf numFmtId="0" fontId="24" fillId="0" borderId="0" xfId="0" applyFont="1"/>
    <xf numFmtId="0" fontId="2" fillId="10" borderId="1" xfId="0" applyFont="1" applyFill="1" applyBorder="1" applyAlignment="1">
      <alignment vertical="top" wrapText="1"/>
    </xf>
    <xf numFmtId="0" fontId="11"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11" fillId="0" borderId="0" xfId="0" applyFont="1"/>
    <xf numFmtId="0" fontId="2" fillId="0" borderId="1" xfId="0" applyFont="1" applyBorder="1" applyAlignment="1" applyProtection="1">
      <alignment vertical="top" wrapText="1"/>
      <protection locked="0"/>
    </xf>
    <xf numFmtId="0" fontId="2" fillId="0" borderId="1" xfId="0" applyFont="1" applyBorder="1" applyAlignment="1" applyProtection="1">
      <alignment horizontal="left" vertical="top" wrapText="1"/>
      <protection locked="0"/>
    </xf>
    <xf numFmtId="0" fontId="12" fillId="0" borderId="0" xfId="0" applyFont="1" applyAlignment="1" applyProtection="1">
      <alignment horizontal="left" wrapText="1"/>
      <protection locked="0"/>
    </xf>
    <xf numFmtId="0" fontId="2" fillId="0" borderId="1" xfId="0" applyFont="1" applyBorder="1" applyAlignment="1">
      <alignment vertical="top" wrapText="1"/>
    </xf>
    <xf numFmtId="0" fontId="18" fillId="0" borderId="1" xfId="0" applyFont="1" applyBorder="1"/>
    <xf numFmtId="0" fontId="26" fillId="10" borderId="1" xfId="0" applyFont="1" applyFill="1" applyBorder="1" applyAlignment="1">
      <alignment horizontal="left" vertical="top" wrapText="1"/>
    </xf>
    <xf numFmtId="49" fontId="11" fillId="10" borderId="1" xfId="0" applyNumberFormat="1" applyFont="1" applyFill="1" applyBorder="1" applyAlignment="1">
      <alignment horizontal="left" vertical="top" wrapText="1"/>
    </xf>
    <xf numFmtId="0" fontId="2" fillId="10" borderId="1" xfId="0" applyFont="1" applyFill="1" applyBorder="1" applyAlignment="1" applyProtection="1">
      <alignment horizontal="left" vertical="top" wrapText="1"/>
      <protection locked="0"/>
    </xf>
    <xf numFmtId="0" fontId="2" fillId="10" borderId="1" xfId="0" applyFont="1" applyFill="1" applyBorder="1" applyAlignment="1" applyProtection="1">
      <alignment vertical="top" wrapText="1"/>
      <protection locked="0"/>
    </xf>
    <xf numFmtId="0" fontId="11" fillId="10" borderId="1" xfId="0" applyFont="1" applyFill="1" applyBorder="1" applyAlignment="1" applyProtection="1">
      <alignment vertical="top" wrapText="1"/>
      <protection locked="0"/>
    </xf>
    <xf numFmtId="49" fontId="2" fillId="10" borderId="1" xfId="0" applyNumberFormat="1" applyFont="1" applyFill="1" applyBorder="1" applyAlignment="1" applyProtection="1">
      <alignment vertical="top" wrapText="1"/>
      <protection locked="0"/>
    </xf>
    <xf numFmtId="0" fontId="11" fillId="11" borderId="1" xfId="0" applyFont="1" applyFill="1" applyBorder="1" applyAlignment="1" applyProtection="1">
      <alignment vertical="top" wrapText="1"/>
      <protection locked="0"/>
    </xf>
    <xf numFmtId="49" fontId="2" fillId="11" borderId="1" xfId="0" applyNumberFormat="1" applyFont="1" applyFill="1" applyBorder="1" applyAlignment="1" applyProtection="1">
      <alignment vertical="top" wrapText="1"/>
      <protection locked="0"/>
    </xf>
    <xf numFmtId="0" fontId="21" fillId="0" borderId="0" xfId="0" applyFont="1" applyAlignment="1">
      <alignment horizontal="left"/>
    </xf>
    <xf numFmtId="0" fontId="29" fillId="0" borderId="0" xfId="0" applyFont="1" applyAlignment="1">
      <alignment vertical="center"/>
    </xf>
    <xf numFmtId="0" fontId="30" fillId="9" borderId="0" xfId="0" applyFont="1" applyFill="1" applyAlignment="1">
      <alignment vertical="center"/>
    </xf>
    <xf numFmtId="0" fontId="31" fillId="9" borderId="0" xfId="0" applyFont="1" applyFill="1" applyAlignment="1">
      <alignment vertical="center"/>
    </xf>
    <xf numFmtId="0" fontId="14" fillId="0" borderId="0" xfId="0" applyFont="1" applyAlignment="1" applyProtection="1">
      <alignment vertical="top" wrapText="1"/>
      <protection locked="0"/>
    </xf>
    <xf numFmtId="49" fontId="2" fillId="0" borderId="0" xfId="0" applyNumberFormat="1" applyFont="1" applyAlignment="1" applyProtection="1">
      <alignment vertical="top" wrapText="1"/>
      <protection locked="0"/>
    </xf>
    <xf numFmtId="49" fontId="12" fillId="0" borderId="0" xfId="0" applyNumberFormat="1" applyFont="1" applyAlignment="1" applyProtection="1">
      <alignment vertical="top" wrapText="1"/>
      <protection locked="0"/>
    </xf>
    <xf numFmtId="0" fontId="11" fillId="0" borderId="0" xfId="0" applyFont="1" applyAlignment="1">
      <alignment vertical="top" wrapText="1"/>
    </xf>
    <xf numFmtId="49" fontId="11" fillId="0" borderId="0" xfId="0" applyNumberFormat="1" applyFont="1" applyAlignment="1" applyProtection="1">
      <alignment vertical="top"/>
      <protection locked="0"/>
    </xf>
    <xf numFmtId="49" fontId="11" fillId="0" borderId="0" xfId="0" applyNumberFormat="1" applyFont="1" applyAlignment="1" applyProtection="1">
      <alignment vertical="top" wrapText="1"/>
      <protection locked="0"/>
    </xf>
    <xf numFmtId="0" fontId="11" fillId="6" borderId="1" xfId="0" applyFont="1" applyFill="1" applyBorder="1" applyAlignment="1">
      <alignment vertical="top"/>
    </xf>
    <xf numFmtId="0" fontId="11" fillId="6" borderId="0" xfId="0" applyFont="1" applyFill="1" applyAlignment="1">
      <alignment vertical="top" wrapText="1"/>
    </xf>
    <xf numFmtId="0" fontId="2" fillId="9" borderId="1" xfId="1" applyFont="1" applyFill="1" applyBorder="1" applyAlignment="1" applyProtection="1">
      <alignment vertical="top" wrapText="1"/>
      <protection locked="0"/>
    </xf>
    <xf numFmtId="0" fontId="19" fillId="4" borderId="2" xfId="0" applyFont="1" applyFill="1" applyBorder="1" applyAlignment="1">
      <alignment horizontal="center" vertical="center" wrapText="1"/>
    </xf>
    <xf numFmtId="0" fontId="23" fillId="4" borderId="2" xfId="0" applyFont="1" applyFill="1" applyBorder="1" applyAlignment="1">
      <alignment horizontal="left" vertical="top" wrapText="1"/>
    </xf>
    <xf numFmtId="0" fontId="12" fillId="5" borderId="1" xfId="0" applyFont="1" applyFill="1" applyBorder="1" applyAlignment="1">
      <alignment vertical="top" wrapText="1"/>
    </xf>
    <xf numFmtId="49" fontId="11" fillId="0" borderId="1" xfId="0" applyNumberFormat="1" applyFont="1" applyBorder="1" applyAlignment="1" applyProtection="1">
      <alignment vertical="top" wrapText="1"/>
      <protection locked="0"/>
    </xf>
    <xf numFmtId="0" fontId="13" fillId="0" borderId="1" xfId="0" applyFont="1" applyBorder="1" applyAlignment="1" applyProtection="1">
      <alignment vertical="top" wrapText="1"/>
      <protection locked="0"/>
    </xf>
    <xf numFmtId="0" fontId="11" fillId="0" borderId="0" xfId="0" applyFont="1" applyAlignment="1" applyProtection="1">
      <alignment vertical="top" wrapText="1"/>
      <protection locked="0"/>
    </xf>
    <xf numFmtId="0" fontId="11" fillId="9" borderId="1" xfId="0" applyFont="1" applyFill="1" applyBorder="1" applyAlignment="1">
      <alignment vertical="top" wrapText="1"/>
    </xf>
    <xf numFmtId="0" fontId="0" fillId="5" borderId="2" xfId="0" applyFill="1" applyBorder="1" applyAlignment="1">
      <alignment horizontal="center" vertical="top" wrapText="1"/>
    </xf>
    <xf numFmtId="0" fontId="28" fillId="5" borderId="2" xfId="0" applyFont="1" applyFill="1" applyBorder="1" applyAlignment="1">
      <alignment horizontal="center" vertical="top" wrapText="1"/>
    </xf>
    <xf numFmtId="0" fontId="28" fillId="5" borderId="6" xfId="0" applyFont="1" applyFill="1" applyBorder="1" applyAlignment="1">
      <alignment horizontal="center" vertical="top" wrapText="1"/>
    </xf>
    <xf numFmtId="0" fontId="9" fillId="5" borderId="2" xfId="0" applyFont="1" applyFill="1" applyBorder="1" applyAlignment="1">
      <alignment horizontal="center" vertical="top" wrapText="1"/>
    </xf>
    <xf numFmtId="0" fontId="9" fillId="5" borderId="7" xfId="0" applyFont="1" applyFill="1" applyBorder="1" applyAlignment="1">
      <alignment horizontal="center" vertical="top" wrapText="1"/>
    </xf>
    <xf numFmtId="0" fontId="38" fillId="0" borderId="1" xfId="0" applyFont="1" applyBorder="1"/>
    <xf numFmtId="0" fontId="39" fillId="0" borderId="1" xfId="0" applyFont="1" applyBorder="1" applyAlignment="1">
      <alignment horizontal="left"/>
    </xf>
    <xf numFmtId="0" fontId="11" fillId="0" borderId="1" xfId="0" applyFont="1" applyBorder="1"/>
    <xf numFmtId="0" fontId="33" fillId="11" borderId="1" xfId="0" quotePrefix="1" applyFont="1" applyFill="1" applyBorder="1" applyAlignment="1">
      <alignment horizontal="center" vertical="top" wrapText="1"/>
    </xf>
    <xf numFmtId="0" fontId="33" fillId="11" borderId="1" xfId="0" applyFont="1" applyFill="1" applyBorder="1" applyAlignment="1">
      <alignment horizontal="center" vertical="top" wrapText="1"/>
    </xf>
    <xf numFmtId="0" fontId="34" fillId="11" borderId="1" xfId="0" applyFont="1" applyFill="1" applyBorder="1" applyAlignment="1">
      <alignment horizontal="center" vertical="top" wrapText="1"/>
    </xf>
    <xf numFmtId="0" fontId="24" fillId="11" borderId="1" xfId="0" applyFont="1" applyFill="1" applyBorder="1" applyAlignment="1">
      <alignment horizontal="center" vertical="center" wrapText="1"/>
    </xf>
    <xf numFmtId="0" fontId="36" fillId="11" borderId="1" xfId="0" quotePrefix="1" applyFont="1" applyFill="1" applyBorder="1" applyAlignment="1">
      <alignment horizontal="center" vertical="top" wrapText="1"/>
    </xf>
    <xf numFmtId="0" fontId="36" fillId="11" borderId="1" xfId="0" applyFont="1" applyFill="1" applyBorder="1" applyAlignment="1">
      <alignment horizontal="center" vertical="top" wrapText="1"/>
    </xf>
    <xf numFmtId="0" fontId="35" fillId="11" borderId="1" xfId="0" applyFont="1" applyFill="1" applyBorder="1" applyAlignment="1">
      <alignment horizontal="center" vertical="top" wrapText="1"/>
    </xf>
    <xf numFmtId="0" fontId="14" fillId="11" borderId="1" xfId="0" applyFont="1" applyFill="1" applyBorder="1"/>
    <xf numFmtId="0" fontId="35" fillId="11" borderId="1" xfId="0" quotePrefix="1" applyFont="1" applyFill="1" applyBorder="1" applyAlignment="1">
      <alignment horizontal="center" vertical="top" wrapText="1"/>
    </xf>
    <xf numFmtId="0" fontId="35" fillId="11" borderId="1" xfId="0" applyFont="1" applyFill="1" applyBorder="1" applyAlignment="1">
      <alignment horizontal="center" vertical="top"/>
    </xf>
    <xf numFmtId="0" fontId="35" fillId="11" borderId="1" xfId="0" applyFont="1" applyFill="1" applyBorder="1"/>
    <xf numFmtId="0" fontId="14" fillId="11" borderId="1" xfId="0" applyFont="1" applyFill="1" applyBorder="1" applyAlignment="1">
      <alignment horizontal="left" vertical="top" wrapText="1"/>
    </xf>
    <xf numFmtId="0" fontId="37" fillId="11" borderId="1" xfId="0" applyFont="1" applyFill="1" applyBorder="1" applyAlignment="1">
      <alignment horizontal="center" vertical="top" wrapText="1"/>
    </xf>
    <xf numFmtId="14" fontId="0" fillId="0" borderId="1" xfId="0" applyNumberFormat="1" applyBorder="1"/>
    <xf numFmtId="49" fontId="13" fillId="9" borderId="1" xfId="0" applyNumberFormat="1" applyFont="1" applyFill="1" applyBorder="1" applyAlignment="1" applyProtection="1">
      <alignment vertical="top" wrapText="1"/>
      <protection locked="0"/>
    </xf>
    <xf numFmtId="0" fontId="2" fillId="9" borderId="1" xfId="0" applyFont="1" applyFill="1" applyBorder="1" applyAlignment="1">
      <alignment horizontal="left" vertical="top" wrapText="1"/>
    </xf>
    <xf numFmtId="0" fontId="0" fillId="0" borderId="1" xfId="0" applyFill="1" applyBorder="1"/>
    <xf numFmtId="0" fontId="24" fillId="11" borderId="1" xfId="0" applyFont="1" applyFill="1" applyBorder="1" applyAlignment="1">
      <alignment vertical="top" wrapText="1"/>
    </xf>
    <xf numFmtId="0" fontId="24" fillId="11" borderId="3" xfId="0" applyFont="1" applyFill="1" applyBorder="1" applyAlignment="1">
      <alignment vertical="top" wrapText="1"/>
    </xf>
    <xf numFmtId="0" fontId="33" fillId="11" borderId="5" xfId="0" applyFont="1" applyFill="1" applyBorder="1" applyAlignment="1">
      <alignment horizontal="center" vertical="top" wrapText="1"/>
    </xf>
    <xf numFmtId="0" fontId="11" fillId="11" borderId="3" xfId="0" quotePrefix="1" applyFont="1" applyFill="1" applyBorder="1" applyAlignment="1">
      <alignment horizontal="center" vertical="top"/>
    </xf>
    <xf numFmtId="0" fontId="35" fillId="11" borderId="5" xfId="0" applyFont="1" applyFill="1" applyBorder="1" applyAlignment="1">
      <alignment horizontal="center" vertical="top" wrapText="1"/>
    </xf>
    <xf numFmtId="0" fontId="35" fillId="11" borderId="3" xfId="0" quotePrefix="1" applyFont="1" applyFill="1" applyBorder="1" applyAlignment="1">
      <alignment horizontal="center" vertical="top" wrapText="1"/>
    </xf>
    <xf numFmtId="14" fontId="0" fillId="0" borderId="1" xfId="0" applyNumberFormat="1" applyBorder="1" applyAlignment="1">
      <alignment wrapText="1"/>
    </xf>
    <xf numFmtId="0" fontId="0" fillId="9" borderId="1" xfId="0"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left" vertical="top"/>
    </xf>
  </cellXfs>
  <cellStyles count="6">
    <cellStyle name="Hyperlink" xfId="1" builtinId="8"/>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zoomScaleNormal="100" workbookViewId="0">
      <selection activeCell="B4" sqref="B4"/>
    </sheetView>
  </sheetViews>
  <sheetFormatPr defaultRowHeight="15"/>
  <cols>
    <col min="1" max="1" width="36.28515625" customWidth="1"/>
    <col min="2" max="2" width="29.85546875" customWidth="1"/>
    <col min="3" max="3" width="42" customWidth="1"/>
    <col min="4" max="4" width="13.140625" customWidth="1"/>
  </cols>
  <sheetData>
    <row r="1" spans="1:7" ht="36" customHeight="1">
      <c r="A1" s="54" t="s">
        <v>469</v>
      </c>
      <c r="B1" s="55"/>
      <c r="C1" s="55"/>
      <c r="D1" s="56"/>
      <c r="E1" s="57"/>
      <c r="F1" s="57"/>
      <c r="G1" s="58"/>
    </row>
    <row r="2" spans="1:7">
      <c r="A2" s="92" t="s">
        <v>0</v>
      </c>
      <c r="B2" s="239">
        <v>44641</v>
      </c>
      <c r="C2" s="92" t="s">
        <v>148</v>
      </c>
      <c r="D2" s="41"/>
      <c r="E2" s="41"/>
      <c r="F2" s="41"/>
      <c r="G2" s="41"/>
    </row>
    <row r="3" spans="1:7">
      <c r="A3" s="240" t="s">
        <v>1</v>
      </c>
      <c r="B3" s="241">
        <v>44706</v>
      </c>
      <c r="C3" s="43" t="s">
        <v>149</v>
      </c>
      <c r="D3" s="41"/>
      <c r="E3" s="41"/>
      <c r="F3" s="41"/>
      <c r="G3" s="41"/>
    </row>
    <row r="4" spans="1:7">
      <c r="A4" s="240"/>
      <c r="B4" s="241"/>
      <c r="C4" s="43"/>
      <c r="D4" s="41"/>
      <c r="E4" s="41"/>
      <c r="F4" s="41"/>
      <c r="G4" s="41"/>
    </row>
    <row r="5" spans="1:7">
      <c r="A5" s="43" t="s">
        <v>2</v>
      </c>
      <c r="B5" s="238" t="s">
        <v>470</v>
      </c>
      <c r="C5" s="92" t="s">
        <v>187</v>
      </c>
      <c r="D5" s="41"/>
      <c r="E5" s="41"/>
      <c r="F5" s="41"/>
      <c r="G5" s="41"/>
    </row>
    <row r="6" spans="1:7">
      <c r="A6" s="43" t="s">
        <v>3</v>
      </c>
      <c r="B6" s="238" t="s">
        <v>471</v>
      </c>
      <c r="C6" s="43" t="s">
        <v>178</v>
      </c>
      <c r="D6" s="41"/>
      <c r="E6" s="41"/>
      <c r="F6" s="41"/>
      <c r="G6" s="41"/>
    </row>
    <row r="7" spans="1:7">
      <c r="A7" s="92" t="s">
        <v>26</v>
      </c>
      <c r="B7" s="43" t="s">
        <v>472</v>
      </c>
      <c r="C7" s="43" t="s">
        <v>181</v>
      </c>
      <c r="D7" s="41"/>
      <c r="E7" s="41"/>
      <c r="F7" s="41"/>
      <c r="G7" s="41"/>
    </row>
    <row r="8" spans="1:7">
      <c r="A8" s="43" t="s">
        <v>4</v>
      </c>
      <c r="B8" s="254" t="s">
        <v>473</v>
      </c>
      <c r="C8" s="43" t="s">
        <v>182</v>
      </c>
      <c r="D8" s="41"/>
      <c r="E8" s="41"/>
      <c r="F8" s="41"/>
      <c r="G8" s="41"/>
    </row>
    <row r="9" spans="1:7">
      <c r="A9" s="43" t="s">
        <v>5</v>
      </c>
      <c r="B9" s="43" t="s">
        <v>474</v>
      </c>
      <c r="C9" s="43" t="s">
        <v>183</v>
      </c>
      <c r="D9" s="41"/>
      <c r="E9" s="41"/>
      <c r="F9" s="41"/>
      <c r="G9" s="41"/>
    </row>
    <row r="10" spans="1:7">
      <c r="A10" s="43"/>
      <c r="B10" s="43"/>
      <c r="C10" s="43" t="s">
        <v>186</v>
      </c>
    </row>
    <row r="11" spans="1:7">
      <c r="A11" s="43"/>
      <c r="B11" s="43"/>
      <c r="C11" s="43" t="s">
        <v>194</v>
      </c>
      <c r="D11" s="41"/>
      <c r="E11" s="41"/>
      <c r="F11" s="41"/>
      <c r="G11" s="41"/>
    </row>
    <row r="12" spans="1:7">
      <c r="A12" s="293" t="s">
        <v>27</v>
      </c>
      <c r="B12" s="293" t="s">
        <v>6</v>
      </c>
      <c r="C12" s="43"/>
      <c r="D12" s="41"/>
      <c r="E12" s="41"/>
      <c r="F12" s="41"/>
      <c r="G12" s="41"/>
    </row>
    <row r="13" spans="1:7">
      <c r="A13" s="259" t="s">
        <v>545</v>
      </c>
      <c r="B13" s="259" t="s">
        <v>542</v>
      </c>
      <c r="C13" s="43"/>
      <c r="D13" s="41"/>
      <c r="E13" s="41"/>
      <c r="F13" s="41"/>
      <c r="G13" s="41"/>
    </row>
    <row r="14" spans="1:7" s="41" customFormat="1">
      <c r="A14" s="294" t="s">
        <v>546</v>
      </c>
      <c r="B14" s="295" t="s">
        <v>543</v>
      </c>
      <c r="C14" s="254"/>
    </row>
    <row r="15" spans="1:7" s="41" customFormat="1">
      <c r="A15" s="294" t="s">
        <v>544</v>
      </c>
      <c r="B15" s="295"/>
      <c r="C15" s="254"/>
    </row>
    <row r="16" spans="1:7">
      <c r="A16" s="43"/>
      <c r="B16" s="43"/>
      <c r="C16" s="43"/>
      <c r="D16" s="41"/>
      <c r="E16" s="41"/>
      <c r="F16" s="41"/>
      <c r="G16" s="41"/>
    </row>
    <row r="17" spans="1:9">
      <c r="A17" s="92" t="s">
        <v>28</v>
      </c>
      <c r="B17" s="43"/>
      <c r="C17" s="245"/>
    </row>
    <row r="18" spans="1:9">
      <c r="A18" s="43" t="s">
        <v>29</v>
      </c>
      <c r="B18" s="43" t="s">
        <v>477</v>
      </c>
      <c r="C18" s="243"/>
    </row>
    <row r="19" spans="1:9">
      <c r="A19" s="43" t="s">
        <v>30</v>
      </c>
      <c r="B19" s="43" t="s">
        <v>476</v>
      </c>
      <c r="C19" s="43"/>
    </row>
    <row r="20" spans="1:9">
      <c r="A20" s="43" t="s">
        <v>31</v>
      </c>
      <c r="B20" s="43" t="s">
        <v>475</v>
      </c>
      <c r="C20" s="43"/>
    </row>
    <row r="21" spans="1:9">
      <c r="A21" s="43" t="s">
        <v>32</v>
      </c>
      <c r="B21" s="43" t="s">
        <v>475</v>
      </c>
      <c r="C21" s="43"/>
    </row>
    <row r="22" spans="1:9">
      <c r="A22" s="244"/>
      <c r="B22" s="43"/>
      <c r="C22" s="43"/>
    </row>
    <row r="23" spans="1:9">
      <c r="A23" s="242" t="s">
        <v>33</v>
      </c>
      <c r="B23" s="64" t="s">
        <v>34</v>
      </c>
      <c r="C23" s="43"/>
    </row>
    <row r="24" spans="1:9">
      <c r="A24" s="61" t="str">
        <f>CONCATENATE(B18,".CV.",B18,"C",B20,"CV65EC.DBCDCY2K(+0)")</f>
        <v>V3.CV.V3CCCV65EC.DBCDCY2K(+0)</v>
      </c>
      <c r="B24" s="61"/>
      <c r="C24" s="62" t="s">
        <v>35</v>
      </c>
    </row>
    <row r="25" spans="1:9">
      <c r="A25" s="63" t="str">
        <f>CONCATENATE(B19,".CV.",B21,"C",B21,"CV65EC.DBCDCY2K(+0)")</f>
        <v>W1.CV.CCCCV65EC.DBCDCY2K(+0)</v>
      </c>
      <c r="B25" s="61"/>
      <c r="C25" s="3" t="s">
        <v>36</v>
      </c>
    </row>
    <row r="26" spans="1:9">
      <c r="A26" s="43"/>
      <c r="B26" s="43"/>
      <c r="C26" s="43"/>
    </row>
    <row r="27" spans="1:9">
      <c r="A27" s="246" t="s">
        <v>467</v>
      </c>
      <c r="B27" s="43"/>
      <c r="C27" s="43"/>
      <c r="D27" s="41"/>
      <c r="E27" s="41"/>
      <c r="F27" s="41"/>
      <c r="G27" s="41"/>
      <c r="H27" s="41"/>
      <c r="I27" s="41"/>
    </row>
    <row r="28" spans="1:9">
      <c r="A28" s="246" t="s">
        <v>468</v>
      </c>
      <c r="B28" s="43"/>
      <c r="C28" s="43"/>
      <c r="D28" s="41"/>
      <c r="E28" s="41"/>
      <c r="F28" s="41"/>
      <c r="G28" s="41"/>
      <c r="H28" s="41"/>
      <c r="I28" s="41"/>
    </row>
    <row r="31" spans="1:9">
      <c r="A31" s="127" t="s">
        <v>481</v>
      </c>
    </row>
  </sheetData>
  <pageMargins left="0.2" right="0.21" top="0.57999999999999996" bottom="0.49" header="0.3" footer="0.17"/>
  <pageSetup orientation="landscape" r:id="rId1"/>
  <headerFooter>
    <oddHeader>&amp;L&amp;"Arial,Regular"Refinitv&amp;C&amp;"Arial,Regular"DIST Reverse Mapping&amp;R&amp;"Arial,Regular"New Installations - Conversions</oddHeader>
    <oddFooter>&amp;L&amp;"Arial,Regular"&amp;8Confidential&amp;C&amp;"Arial,Regular"&amp;8&amp;D&amp;R&amp;"Arial,Regular"&amp;8&amp;P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workbookViewId="0">
      <selection activeCell="A3" sqref="A3"/>
    </sheetView>
  </sheetViews>
  <sheetFormatPr defaultRowHeight="15"/>
  <cols>
    <col min="1" max="1" width="11.28515625" bestFit="1" customWidth="1"/>
    <col min="3" max="3" width="32.5703125" bestFit="1" customWidth="1"/>
    <col min="4" max="4" width="10.7109375" customWidth="1"/>
    <col min="5" max="5" width="22.140625" bestFit="1" customWidth="1"/>
    <col min="6" max="6" width="15.140625" customWidth="1"/>
  </cols>
  <sheetData>
    <row r="1" spans="1:6" s="250" customFormat="1" ht="36">
      <c r="A1" s="247" t="s">
        <v>7</v>
      </c>
      <c r="B1" s="247" t="s">
        <v>412</v>
      </c>
      <c r="C1" s="248" t="s">
        <v>409</v>
      </c>
      <c r="D1" s="247" t="s">
        <v>410</v>
      </c>
      <c r="E1" s="249" t="s">
        <v>411</v>
      </c>
      <c r="F1" s="248" t="s">
        <v>396</v>
      </c>
    </row>
    <row r="2" spans="1:6" ht="45">
      <c r="A2" s="227">
        <v>44706</v>
      </c>
      <c r="B2" s="320">
        <v>5056</v>
      </c>
      <c r="C2" s="322" t="s">
        <v>563</v>
      </c>
      <c r="D2" s="321" t="s">
        <v>482</v>
      </c>
      <c r="E2" s="319" t="s">
        <v>564</v>
      </c>
      <c r="F2" s="228"/>
    </row>
    <row r="3" spans="1:6">
      <c r="A3" s="211"/>
      <c r="B3" s="211"/>
      <c r="C3" s="211"/>
      <c r="D3" s="211"/>
      <c r="E3" s="211"/>
      <c r="F3" s="211"/>
    </row>
    <row r="4" spans="1:6">
      <c r="A4" s="211"/>
      <c r="B4" s="312"/>
      <c r="C4" s="211"/>
      <c r="D4" s="211"/>
      <c r="E4" s="309"/>
      <c r="F4" s="211"/>
    </row>
    <row r="5" spans="1:6">
      <c r="A5" s="211"/>
      <c r="B5" s="211"/>
      <c r="C5" s="211"/>
      <c r="D5" s="211"/>
      <c r="E5" s="211"/>
      <c r="F5" s="211"/>
    </row>
    <row r="6" spans="1:6">
      <c r="A6" s="211"/>
      <c r="B6" s="211"/>
      <c r="C6" s="211"/>
      <c r="D6" s="211"/>
      <c r="E6" s="211"/>
      <c r="F6" s="211"/>
    </row>
    <row r="7" spans="1:6">
      <c r="A7" s="211"/>
      <c r="B7" s="211"/>
      <c r="C7" s="211"/>
      <c r="D7" s="211"/>
      <c r="E7" s="211"/>
      <c r="F7" s="211"/>
    </row>
    <row r="8" spans="1:6">
      <c r="A8" s="211"/>
      <c r="B8" s="211"/>
      <c r="C8" s="211"/>
      <c r="D8" s="211"/>
      <c r="E8" s="211"/>
      <c r="F8" s="211"/>
    </row>
  </sheetData>
  <pageMargins left="0.7" right="0.7" top="0.75" bottom="0.75" header="0.3" footer="0.3"/>
  <pageSetup paperSize="2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workbookViewId="0">
      <pane ySplit="1" topLeftCell="A2" activePane="bottomLeft" state="frozen"/>
      <selection activeCell="B2" sqref="B2"/>
      <selection pane="bottomLeft"/>
    </sheetView>
  </sheetViews>
  <sheetFormatPr defaultColWidth="8.28515625" defaultRowHeight="15"/>
  <cols>
    <col min="1" max="1" width="8.5703125" customWidth="1"/>
    <col min="2" max="2" width="9.7109375" customWidth="1"/>
    <col min="3" max="3" width="5.42578125" customWidth="1"/>
    <col min="4" max="4" width="109" customWidth="1"/>
    <col min="5" max="252" width="9.140625" customWidth="1"/>
    <col min="253" max="253" width="7.85546875" bestFit="1" customWidth="1"/>
    <col min="254" max="254" width="4.42578125" bestFit="1" customWidth="1"/>
    <col min="255" max="255" width="47.42578125" customWidth="1"/>
  </cols>
  <sheetData>
    <row r="1" spans="1:4" ht="30">
      <c r="A1" s="34" t="s">
        <v>21</v>
      </c>
      <c r="B1" s="35" t="s">
        <v>22</v>
      </c>
      <c r="C1" s="34" t="s">
        <v>23</v>
      </c>
      <c r="D1" s="34" t="s">
        <v>24</v>
      </c>
    </row>
    <row r="2" spans="1:4">
      <c r="A2" s="36"/>
      <c r="B2" s="1"/>
      <c r="C2" s="1"/>
      <c r="D2" s="1"/>
    </row>
    <row r="3" spans="1:4">
      <c r="A3" s="36"/>
      <c r="B3" s="37"/>
      <c r="C3" s="1"/>
      <c r="D3" s="37"/>
    </row>
    <row r="4" spans="1:4">
      <c r="A4" s="38"/>
      <c r="B4" s="37"/>
      <c r="D4" s="37"/>
    </row>
    <row r="5" spans="1:4">
      <c r="A5" s="36"/>
      <c r="B5" s="37"/>
      <c r="C5" s="1"/>
      <c r="D5" s="37"/>
    </row>
    <row r="6" spans="1:4">
      <c r="A6" s="36"/>
      <c r="B6" s="37"/>
      <c r="C6" s="1"/>
      <c r="D6" s="37"/>
    </row>
    <row r="7" spans="1:4">
      <c r="A7" s="38"/>
      <c r="B7" s="37"/>
      <c r="D7" s="37"/>
    </row>
    <row r="8" spans="1:4">
      <c r="A8" s="38"/>
      <c r="B8" s="37"/>
      <c r="D8" s="37"/>
    </row>
    <row r="9" spans="1:4">
      <c r="A9" s="36"/>
      <c r="B9" s="37"/>
      <c r="C9" s="1"/>
      <c r="D9" s="37"/>
    </row>
    <row r="10" spans="1:4">
      <c r="A10" s="36"/>
      <c r="B10" s="37"/>
      <c r="C10" s="1"/>
      <c r="D10" s="37"/>
    </row>
    <row r="11" spans="1:4">
      <c r="A11" s="36"/>
      <c r="B11" s="37"/>
      <c r="C11" s="1"/>
      <c r="D11" s="37"/>
    </row>
    <row r="12" spans="1:4">
      <c r="A12" s="36"/>
      <c r="B12" s="37"/>
      <c r="C12" s="1"/>
      <c r="D12" s="37"/>
    </row>
    <row r="13" spans="1:4">
      <c r="A13" s="39"/>
    </row>
    <row r="22" spans="1:1">
      <c r="A22" s="40"/>
    </row>
  </sheetData>
  <printOptions gridLines="1"/>
  <pageMargins left="0.25" right="0.25" top="0.7" bottom="0.5" header="0.3" footer="0.17"/>
  <pageSetup orientation="landscape" r:id="rId1"/>
  <headerFooter>
    <oddHeader>&amp;L&amp;"Arial,Regular"Thomson Reuters&amp;C&amp;"Arial,Regular"ACCT Reverse Mapping
UPDATES&amp;R&amp;"Arial,Regular"New Installations-Conversions</oddHeader>
    <oddFooter>&amp;L&amp;8Confidential
&amp;Z&amp;F&amp;C&amp;8&amp;D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6"/>
  <sheetViews>
    <sheetView topLeftCell="A5" workbookViewId="0">
      <selection activeCell="I39" sqref="I39:I41"/>
    </sheetView>
  </sheetViews>
  <sheetFormatPr defaultColWidth="9.140625" defaultRowHeight="15"/>
  <cols>
    <col min="1" max="1" width="12.7109375" style="72" customWidth="1"/>
    <col min="2" max="2" width="9.140625" style="72"/>
    <col min="3" max="3" width="10" style="72" customWidth="1"/>
    <col min="4" max="16384" width="9.140625" style="72"/>
  </cols>
  <sheetData>
    <row r="1" spans="1:4">
      <c r="A1" s="268" t="s">
        <v>481</v>
      </c>
    </row>
    <row r="2" spans="1:4">
      <c r="A2" s="268"/>
    </row>
    <row r="3" spans="1:4">
      <c r="A3" s="254" t="s">
        <v>483</v>
      </c>
    </row>
    <row r="4" spans="1:4">
      <c r="A4" s="254" t="s">
        <v>484</v>
      </c>
    </row>
    <row r="5" spans="1:4">
      <c r="A5" s="254" t="s">
        <v>547</v>
      </c>
      <c r="C5" s="73"/>
    </row>
    <row r="6" spans="1:4">
      <c r="A6" s="37"/>
      <c r="B6" s="41" t="s">
        <v>548</v>
      </c>
      <c r="D6" s="72">
        <v>23</v>
      </c>
    </row>
    <row r="7" spans="1:4">
      <c r="A7" s="73"/>
      <c r="B7" s="41" t="s">
        <v>549</v>
      </c>
      <c r="D7" s="72">
        <v>21</v>
      </c>
    </row>
    <row r="8" spans="1:4">
      <c r="A8" s="73"/>
    </row>
    <row r="9" spans="1:4">
      <c r="A9" s="73"/>
      <c r="B9" s="72" t="s">
        <v>485</v>
      </c>
      <c r="C9" s="41" t="s">
        <v>486</v>
      </c>
    </row>
    <row r="10" spans="1:4">
      <c r="A10" s="73"/>
      <c r="B10" s="72" t="s">
        <v>487</v>
      </c>
      <c r="C10" s="41" t="s">
        <v>488</v>
      </c>
    </row>
    <row r="11" spans="1:4">
      <c r="A11" s="37"/>
      <c r="B11" s="72" t="s">
        <v>489</v>
      </c>
      <c r="C11" s="72" t="s">
        <v>490</v>
      </c>
      <c r="D11" s="41" t="s">
        <v>491</v>
      </c>
    </row>
    <row r="12" spans="1:4">
      <c r="A12" s="71"/>
      <c r="B12" s="73"/>
    </row>
    <row r="13" spans="1:4">
      <c r="A13" s="243" t="s">
        <v>492</v>
      </c>
    </row>
    <row r="14" spans="1:4">
      <c r="A14" s="37"/>
      <c r="B14" s="269" t="s">
        <v>493</v>
      </c>
    </row>
    <row r="15" spans="1:4">
      <c r="B15" s="269"/>
    </row>
    <row r="16" spans="1:4">
      <c r="B16" s="270" t="s">
        <v>494</v>
      </c>
    </row>
    <row r="17" spans="2:2">
      <c r="B17" s="271" t="s">
        <v>495</v>
      </c>
    </row>
    <row r="18" spans="2:2">
      <c r="B18" s="271"/>
    </row>
    <row r="19" spans="2:2">
      <c r="B19" s="269"/>
    </row>
    <row r="20" spans="2:2">
      <c r="B20" s="269" t="s">
        <v>496</v>
      </c>
    </row>
    <row r="21" spans="2:2">
      <c r="B21" s="270" t="s">
        <v>497</v>
      </c>
    </row>
    <row r="22" spans="2:2">
      <c r="B22" s="271" t="s">
        <v>498</v>
      </c>
    </row>
    <row r="23" spans="2:2">
      <c r="B23" s="269"/>
    </row>
    <row r="24" spans="2:2">
      <c r="B24" s="269" t="s">
        <v>499</v>
      </c>
    </row>
    <row r="25" spans="2:2">
      <c r="B25" s="270" t="s">
        <v>500</v>
      </c>
    </row>
    <row r="26" spans="2:2">
      <c r="B26" s="271" t="s">
        <v>498</v>
      </c>
    </row>
    <row r="27" spans="2:2">
      <c r="B27" s="269"/>
    </row>
    <row r="28" spans="2:2">
      <c r="B28" s="269"/>
    </row>
    <row r="29" spans="2:2">
      <c r="B29" s="269" t="s">
        <v>501</v>
      </c>
    </row>
    <row r="30" spans="2:2">
      <c r="B30" s="269"/>
    </row>
    <row r="31" spans="2:2">
      <c r="B31" s="270" t="s">
        <v>502</v>
      </c>
    </row>
    <row r="32" spans="2:2">
      <c r="B32" s="271" t="s">
        <v>498</v>
      </c>
    </row>
    <row r="33" spans="2:2">
      <c r="B33" s="269"/>
    </row>
    <row r="34" spans="2:2">
      <c r="B34" s="269"/>
    </row>
    <row r="35" spans="2:2">
      <c r="B35" s="270" t="s">
        <v>503</v>
      </c>
    </row>
    <row r="36" spans="2:2">
      <c r="B36" s="271" t="s">
        <v>498</v>
      </c>
    </row>
  </sheetData>
  <pageMargins left="0.7" right="0.7" top="0.75" bottom="0.75" header="0.3" footer="0.3"/>
  <pageSetup paperSize="2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212"/>
  <sheetViews>
    <sheetView topLeftCell="D1" zoomScaleNormal="100" workbookViewId="0">
      <pane ySplit="1" topLeftCell="A53" activePane="bottomLeft" state="frozen"/>
      <selection pane="bottomLeft" activeCell="L57" sqref="L57"/>
    </sheetView>
  </sheetViews>
  <sheetFormatPr defaultColWidth="9.140625" defaultRowHeight="12"/>
  <cols>
    <col min="1" max="1" width="3.85546875" style="53" customWidth="1"/>
    <col min="2" max="2" width="8" style="45" customWidth="1"/>
    <col min="3" max="3" width="7.7109375" style="45" customWidth="1"/>
    <col min="4" max="4" width="5.42578125" style="48" customWidth="1"/>
    <col min="5" max="5" width="9.42578125" style="48" customWidth="1"/>
    <col min="6" max="6" width="11.85546875" style="50" customWidth="1"/>
    <col min="7" max="7" width="27.42578125" style="45" customWidth="1"/>
    <col min="8" max="8" width="32.7109375" style="51" customWidth="1"/>
    <col min="9" max="9" width="23.7109375" style="275" customWidth="1"/>
    <col min="10" max="10" width="23.7109375" style="52" customWidth="1"/>
    <col min="11" max="11" width="34.5703125" style="275" customWidth="1"/>
    <col min="12" max="12" width="34.5703125" style="277" customWidth="1"/>
    <col min="13" max="13" width="5.85546875" style="48" customWidth="1"/>
    <col min="14" max="14" width="3.42578125" style="210" customWidth="1"/>
    <col min="15" max="15" width="9.28515625" style="191" customWidth="1"/>
    <col min="16" max="17" width="20.7109375" style="49" customWidth="1"/>
    <col min="18" max="18" width="33.7109375" style="257" customWidth="1"/>
    <col min="19" max="19" width="33.5703125" style="3" customWidth="1"/>
    <col min="20" max="22" width="34.5703125" style="4" customWidth="1"/>
    <col min="23" max="23" width="34.5703125" style="5" customWidth="1"/>
    <col min="24" max="25" width="9.140625" style="85"/>
    <col min="26" max="16384" width="9.140625" style="43"/>
  </cols>
  <sheetData>
    <row r="1" spans="1:23" s="68" customFormat="1" ht="36">
      <c r="A1" s="65"/>
      <c r="B1" s="60" t="s">
        <v>7</v>
      </c>
      <c r="C1" s="60" t="s">
        <v>8</v>
      </c>
      <c r="D1" s="66" t="s">
        <v>9</v>
      </c>
      <c r="E1" s="60" t="s">
        <v>10</v>
      </c>
      <c r="F1" s="66" t="s">
        <v>105</v>
      </c>
      <c r="G1" s="60" t="s">
        <v>330</v>
      </c>
      <c r="H1" s="60" t="s">
        <v>11</v>
      </c>
      <c r="I1" s="281" t="s">
        <v>430</v>
      </c>
      <c r="J1" s="132" t="s">
        <v>39</v>
      </c>
      <c r="K1" s="67" t="s">
        <v>256</v>
      </c>
      <c r="L1" s="67" t="s">
        <v>255</v>
      </c>
      <c r="M1" s="60" t="s">
        <v>13</v>
      </c>
      <c r="N1" s="67" t="s">
        <v>37</v>
      </c>
      <c r="O1" s="60" t="s">
        <v>250</v>
      </c>
      <c r="P1" s="133" t="s">
        <v>40</v>
      </c>
      <c r="Q1" s="133" t="s">
        <v>41</v>
      </c>
      <c r="R1" s="229" t="s">
        <v>434</v>
      </c>
      <c r="S1" s="229" t="s">
        <v>435</v>
      </c>
      <c r="T1" s="60" t="s">
        <v>266</v>
      </c>
      <c r="U1" s="60" t="s">
        <v>267</v>
      </c>
      <c r="V1" s="60" t="s">
        <v>268</v>
      </c>
      <c r="W1" s="60" t="s">
        <v>269</v>
      </c>
    </row>
    <row r="2" spans="1:23" s="154" customFormat="1">
      <c r="A2" s="176">
        <v>1</v>
      </c>
      <c r="B2" s="149"/>
      <c r="C2" s="149"/>
      <c r="D2" s="148">
        <v>1</v>
      </c>
      <c r="E2" s="144" t="s">
        <v>325</v>
      </c>
      <c r="F2" s="150"/>
      <c r="G2" s="146" t="s">
        <v>326</v>
      </c>
      <c r="H2" s="146" t="s">
        <v>327</v>
      </c>
      <c r="I2" s="282"/>
      <c r="J2" s="152"/>
      <c r="K2" s="147" t="s">
        <v>370</v>
      </c>
      <c r="L2" s="147" t="s">
        <v>370</v>
      </c>
      <c r="M2" s="145"/>
      <c r="N2" s="192"/>
      <c r="O2" s="145"/>
      <c r="P2" s="153"/>
      <c r="Q2" s="153"/>
      <c r="R2" s="147" t="s">
        <v>370</v>
      </c>
      <c r="S2" s="147" t="s">
        <v>370</v>
      </c>
      <c r="T2" s="147" t="s">
        <v>370</v>
      </c>
      <c r="U2" s="146"/>
      <c r="V2" s="147" t="s">
        <v>370</v>
      </c>
      <c r="W2" s="146"/>
    </row>
    <row r="3" spans="1:23" s="154" customFormat="1">
      <c r="A3" s="176">
        <v>2</v>
      </c>
      <c r="B3" s="149"/>
      <c r="C3" s="149"/>
      <c r="D3" s="148">
        <v>51</v>
      </c>
      <c r="E3" s="145" t="s">
        <v>328</v>
      </c>
      <c r="F3" s="150"/>
      <c r="G3" s="146" t="s">
        <v>329</v>
      </c>
      <c r="H3" s="146" t="s">
        <v>327</v>
      </c>
      <c r="I3" s="282"/>
      <c r="J3" s="152"/>
      <c r="K3" s="147" t="s">
        <v>370</v>
      </c>
      <c r="L3" s="147" t="s">
        <v>370</v>
      </c>
      <c r="M3" s="145"/>
      <c r="N3" s="192"/>
      <c r="O3" s="145"/>
      <c r="P3" s="153"/>
      <c r="Q3" s="153"/>
      <c r="R3" s="147" t="s">
        <v>370</v>
      </c>
      <c r="S3" s="147" t="s">
        <v>370</v>
      </c>
      <c r="T3" s="147" t="s">
        <v>370</v>
      </c>
      <c r="U3" s="146"/>
      <c r="V3" s="147" t="s">
        <v>370</v>
      </c>
      <c r="W3" s="146"/>
    </row>
    <row r="4" spans="1:23" s="154" customFormat="1">
      <c r="A4" s="176">
        <v>3</v>
      </c>
      <c r="B4" s="149"/>
      <c r="C4" s="149"/>
      <c r="D4" s="148">
        <v>101</v>
      </c>
      <c r="E4" s="145" t="s">
        <v>328</v>
      </c>
      <c r="F4" s="150"/>
      <c r="G4" s="146" t="s">
        <v>331</v>
      </c>
      <c r="H4" s="146" t="s">
        <v>327</v>
      </c>
      <c r="I4" s="282"/>
      <c r="J4" s="152"/>
      <c r="K4" s="147" t="s">
        <v>38</v>
      </c>
      <c r="L4" s="147" t="s">
        <v>38</v>
      </c>
      <c r="M4" s="145"/>
      <c r="N4" s="192"/>
      <c r="O4" s="145"/>
      <c r="P4" s="153"/>
      <c r="Q4" s="153"/>
      <c r="R4" s="147" t="s">
        <v>38</v>
      </c>
      <c r="S4" s="147" t="s">
        <v>38</v>
      </c>
      <c r="T4" s="147" t="s">
        <v>38</v>
      </c>
      <c r="U4" s="146"/>
      <c r="V4" s="147" t="s">
        <v>38</v>
      </c>
      <c r="W4" s="146"/>
    </row>
    <row r="5" spans="1:23" s="154" customFormat="1">
      <c r="A5" s="176">
        <v>4</v>
      </c>
      <c r="B5" s="149"/>
      <c r="C5" s="149"/>
      <c r="D5" s="148">
        <v>201</v>
      </c>
      <c r="E5" s="145" t="s">
        <v>328</v>
      </c>
      <c r="F5" s="150"/>
      <c r="G5" s="146" t="s">
        <v>332</v>
      </c>
      <c r="H5" s="146" t="s">
        <v>327</v>
      </c>
      <c r="I5" s="282"/>
      <c r="J5" s="152"/>
      <c r="K5" s="147" t="s">
        <v>38</v>
      </c>
      <c r="L5" s="147" t="s">
        <v>38</v>
      </c>
      <c r="M5" s="145"/>
      <c r="N5" s="192"/>
      <c r="O5" s="145"/>
      <c r="P5" s="153"/>
      <c r="Q5" s="153"/>
      <c r="R5" s="147" t="s">
        <v>38</v>
      </c>
      <c r="S5" s="147" t="s">
        <v>38</v>
      </c>
      <c r="T5" s="147" t="s">
        <v>38</v>
      </c>
      <c r="U5" s="146"/>
      <c r="V5" s="147" t="s">
        <v>38</v>
      </c>
      <c r="W5" s="146"/>
    </row>
    <row r="6" spans="1:23" ht="36">
      <c r="A6" s="176">
        <v>5</v>
      </c>
      <c r="B6" s="42"/>
      <c r="C6" s="42"/>
      <c r="D6" s="86">
        <v>205</v>
      </c>
      <c r="E6" s="86" t="s">
        <v>333</v>
      </c>
      <c r="F6" s="89" t="s">
        <v>188</v>
      </c>
      <c r="G6" s="87" t="s">
        <v>42</v>
      </c>
      <c r="H6" s="59" t="s">
        <v>135</v>
      </c>
      <c r="I6" s="174" t="s">
        <v>413</v>
      </c>
      <c r="J6" s="134" t="s">
        <v>426</v>
      </c>
      <c r="K6" s="137" t="s">
        <v>425</v>
      </c>
      <c r="L6" s="137" t="s">
        <v>425</v>
      </c>
      <c r="M6" s="86" t="s">
        <v>14</v>
      </c>
      <c r="N6" s="193"/>
      <c r="O6" s="187" t="s">
        <v>251</v>
      </c>
      <c r="P6" s="9"/>
      <c r="Q6" s="9"/>
      <c r="R6" s="252" t="s">
        <v>425</v>
      </c>
      <c r="S6" s="252" t="s">
        <v>425</v>
      </c>
      <c r="T6" s="137" t="s">
        <v>425</v>
      </c>
      <c r="U6" s="174"/>
      <c r="V6" s="137" t="s">
        <v>398</v>
      </c>
      <c r="W6" s="47"/>
    </row>
    <row r="7" spans="1:23" ht="156">
      <c r="A7" s="176">
        <v>6</v>
      </c>
      <c r="B7" s="47"/>
      <c r="C7" s="47"/>
      <c r="D7" s="86">
        <v>214</v>
      </c>
      <c r="E7" s="86" t="s">
        <v>333</v>
      </c>
      <c r="F7" s="89" t="s">
        <v>189</v>
      </c>
      <c r="G7" s="174" t="s">
        <v>43</v>
      </c>
      <c r="H7" s="59" t="s">
        <v>136</v>
      </c>
      <c r="I7" s="174" t="s">
        <v>414</v>
      </c>
      <c r="J7" s="100" t="s">
        <v>551</v>
      </c>
      <c r="K7" s="258" t="s">
        <v>550</v>
      </c>
      <c r="L7" s="258" t="s">
        <v>550</v>
      </c>
      <c r="M7" s="86" t="s">
        <v>14</v>
      </c>
      <c r="N7" s="194"/>
      <c r="O7" s="187" t="s">
        <v>251</v>
      </c>
      <c r="P7" s="7"/>
      <c r="Q7" s="7"/>
      <c r="R7" s="251" t="s">
        <v>427</v>
      </c>
      <c r="S7" s="251" t="s">
        <v>427</v>
      </c>
      <c r="T7" s="137" t="s">
        <v>373</v>
      </c>
      <c r="U7" s="258" t="s">
        <v>427</v>
      </c>
      <c r="V7" s="137" t="s">
        <v>373</v>
      </c>
      <c r="W7" s="258" t="s">
        <v>427</v>
      </c>
    </row>
    <row r="8" spans="1:23" ht="24">
      <c r="A8" s="176">
        <v>7</v>
      </c>
      <c r="B8" s="112"/>
      <c r="C8" s="112"/>
      <c r="D8" s="113">
        <v>223</v>
      </c>
      <c r="E8" s="113" t="s">
        <v>333</v>
      </c>
      <c r="F8" s="114"/>
      <c r="G8" s="139" t="s">
        <v>334</v>
      </c>
      <c r="H8" s="139" t="s">
        <v>371</v>
      </c>
      <c r="I8" s="115"/>
      <c r="J8" s="116"/>
      <c r="K8" s="164" t="s">
        <v>291</v>
      </c>
      <c r="L8" s="164" t="s">
        <v>291</v>
      </c>
      <c r="M8" s="171" t="s">
        <v>17</v>
      </c>
      <c r="N8" s="195"/>
      <c r="O8" s="188"/>
      <c r="P8" s="156"/>
      <c r="Q8" s="156"/>
      <c r="R8" s="164" t="s">
        <v>291</v>
      </c>
      <c r="S8" s="164" t="s">
        <v>291</v>
      </c>
      <c r="T8" s="164" t="s">
        <v>291</v>
      </c>
      <c r="U8" s="115"/>
      <c r="V8" s="164" t="s">
        <v>291</v>
      </c>
      <c r="W8" s="112"/>
    </row>
    <row r="9" spans="1:23" ht="108">
      <c r="A9" s="176">
        <v>8</v>
      </c>
      <c r="B9" s="42"/>
      <c r="C9" s="42"/>
      <c r="D9" s="33">
        <v>232</v>
      </c>
      <c r="E9" s="33" t="s">
        <v>106</v>
      </c>
      <c r="F9" s="93" t="s">
        <v>191</v>
      </c>
      <c r="G9" s="59" t="s">
        <v>190</v>
      </c>
      <c r="H9" s="59" t="s">
        <v>143</v>
      </c>
      <c r="I9" s="174" t="s">
        <v>518</v>
      </c>
      <c r="J9" s="100" t="s">
        <v>399</v>
      </c>
      <c r="K9" s="231" t="s">
        <v>504</v>
      </c>
      <c r="L9" s="231" t="s">
        <v>505</v>
      </c>
      <c r="M9" s="33" t="s">
        <v>14</v>
      </c>
      <c r="N9" s="212" t="s">
        <v>108</v>
      </c>
      <c r="O9" s="187" t="s">
        <v>251</v>
      </c>
      <c r="P9" s="9"/>
      <c r="Q9" s="9"/>
      <c r="R9" s="253" t="s">
        <v>436</v>
      </c>
      <c r="S9" s="253" t="s">
        <v>437</v>
      </c>
      <c r="T9" s="233" t="s">
        <v>507</v>
      </c>
      <c r="U9" s="214"/>
      <c r="V9" s="233" t="s">
        <v>507</v>
      </c>
      <c r="W9" s="214"/>
    </row>
    <row r="10" spans="1:23" ht="120">
      <c r="A10" s="176">
        <v>9</v>
      </c>
      <c r="B10" s="112"/>
      <c r="C10" s="112"/>
      <c r="D10" s="101">
        <v>237</v>
      </c>
      <c r="E10" s="101" t="s">
        <v>107</v>
      </c>
      <c r="F10" s="114" t="s">
        <v>192</v>
      </c>
      <c r="G10" s="115" t="s">
        <v>46</v>
      </c>
      <c r="H10" s="115" t="s">
        <v>144</v>
      </c>
      <c r="I10" s="283"/>
      <c r="J10" s="120"/>
      <c r="K10" s="164" t="s">
        <v>249</v>
      </c>
      <c r="L10" s="164" t="s">
        <v>249</v>
      </c>
      <c r="M10" s="171" t="s">
        <v>15</v>
      </c>
      <c r="N10" s="195"/>
      <c r="O10" s="188"/>
      <c r="P10" s="106"/>
      <c r="Q10" s="106"/>
      <c r="R10" s="164" t="s">
        <v>249</v>
      </c>
      <c r="S10" s="164" t="s">
        <v>249</v>
      </c>
      <c r="T10" s="164" t="s">
        <v>249</v>
      </c>
      <c r="U10" s="115"/>
      <c r="V10" s="164" t="s">
        <v>249</v>
      </c>
      <c r="W10" s="112"/>
    </row>
    <row r="11" spans="1:23" ht="216">
      <c r="A11" s="176">
        <v>10</v>
      </c>
      <c r="B11" s="42"/>
      <c r="C11" s="42"/>
      <c r="D11" s="86">
        <v>239</v>
      </c>
      <c r="E11" s="86" t="s">
        <v>108</v>
      </c>
      <c r="F11" s="89" t="s">
        <v>193</v>
      </c>
      <c r="G11" s="87" t="s">
        <v>47</v>
      </c>
      <c r="H11" s="59" t="s">
        <v>146</v>
      </c>
      <c r="I11" s="258" t="s">
        <v>519</v>
      </c>
      <c r="J11" s="99"/>
      <c r="K11" s="311" t="s">
        <v>559</v>
      </c>
      <c r="L11" s="311" t="s">
        <v>559</v>
      </c>
      <c r="M11" s="86" t="s">
        <v>14</v>
      </c>
      <c r="N11" s="196"/>
      <c r="O11" s="187" t="s">
        <v>251</v>
      </c>
      <c r="P11" s="9" t="s">
        <v>16</v>
      </c>
      <c r="Q11" s="9"/>
      <c r="R11" s="260" t="s">
        <v>438</v>
      </c>
      <c r="S11" s="260" t="s">
        <v>438</v>
      </c>
      <c r="T11" s="233" t="s">
        <v>438</v>
      </c>
      <c r="U11" s="231" t="s">
        <v>559</v>
      </c>
      <c r="V11" s="233" t="s">
        <v>438</v>
      </c>
      <c r="W11" s="231" t="s">
        <v>559</v>
      </c>
    </row>
    <row r="12" spans="1:23" ht="192">
      <c r="A12" s="176">
        <v>11</v>
      </c>
      <c r="B12" s="47"/>
      <c r="C12" s="47"/>
      <c r="D12" s="86">
        <v>240</v>
      </c>
      <c r="E12" s="86" t="s">
        <v>333</v>
      </c>
      <c r="F12" s="89" t="s">
        <v>378</v>
      </c>
      <c r="G12" s="87" t="s">
        <v>195</v>
      </c>
      <c r="H12" s="87" t="s">
        <v>147</v>
      </c>
      <c r="I12" s="233" t="s">
        <v>561</v>
      </c>
      <c r="J12" s="100" t="s">
        <v>381</v>
      </c>
      <c r="K12" s="287" t="s">
        <v>560</v>
      </c>
      <c r="L12" s="287" t="s">
        <v>560</v>
      </c>
      <c r="M12" s="86" t="s">
        <v>14</v>
      </c>
      <c r="N12" s="196"/>
      <c r="O12" s="187" t="s">
        <v>251</v>
      </c>
      <c r="P12" s="9"/>
      <c r="Q12" s="9"/>
      <c r="R12" s="253" t="s">
        <v>439</v>
      </c>
      <c r="S12" s="253" t="s">
        <v>439</v>
      </c>
      <c r="T12" s="233" t="s">
        <v>438</v>
      </c>
      <c r="U12" s="174" t="s">
        <v>524</v>
      </c>
      <c r="V12" s="233" t="s">
        <v>438</v>
      </c>
      <c r="W12" s="174" t="s">
        <v>524</v>
      </c>
    </row>
    <row r="13" spans="1:23" ht="84">
      <c r="A13" s="176">
        <v>12</v>
      </c>
      <c r="B13" s="47"/>
      <c r="C13" s="47"/>
      <c r="D13" s="86">
        <v>249</v>
      </c>
      <c r="E13" s="86" t="s">
        <v>333</v>
      </c>
      <c r="F13" s="89" t="s">
        <v>401</v>
      </c>
      <c r="G13" s="87" t="s">
        <v>49</v>
      </c>
      <c r="H13" s="87" t="s">
        <v>119</v>
      </c>
      <c r="I13" s="258" t="s">
        <v>520</v>
      </c>
      <c r="J13" s="138" t="s">
        <v>552</v>
      </c>
      <c r="K13" s="258" t="s">
        <v>440</v>
      </c>
      <c r="L13" s="258" t="s">
        <v>440</v>
      </c>
      <c r="M13" s="86" t="s">
        <v>17</v>
      </c>
      <c r="N13" s="197"/>
      <c r="O13" s="187" t="s">
        <v>251</v>
      </c>
      <c r="P13" s="11"/>
      <c r="Q13" s="11"/>
      <c r="R13" s="251" t="s">
        <v>440</v>
      </c>
      <c r="S13" s="251" t="s">
        <v>440</v>
      </c>
      <c r="T13" s="258" t="s">
        <v>440</v>
      </c>
      <c r="U13" s="258"/>
      <c r="V13" s="258" t="s">
        <v>440</v>
      </c>
      <c r="W13" s="47"/>
    </row>
    <row r="14" spans="1:23" ht="48">
      <c r="A14" s="176">
        <v>13</v>
      </c>
      <c r="B14" s="47"/>
      <c r="C14" s="47"/>
      <c r="D14" s="33">
        <v>258</v>
      </c>
      <c r="E14" s="33" t="s">
        <v>335</v>
      </c>
      <c r="F14" s="93" t="s">
        <v>197</v>
      </c>
      <c r="G14" s="59" t="s">
        <v>50</v>
      </c>
      <c r="H14" s="59" t="s">
        <v>120</v>
      </c>
      <c r="I14" s="258" t="s">
        <v>521</v>
      </c>
      <c r="J14" s="99" t="s">
        <v>16</v>
      </c>
      <c r="K14" s="258" t="s">
        <v>441</v>
      </c>
      <c r="L14" s="162" t="s">
        <v>38</v>
      </c>
      <c r="M14" s="33" t="s">
        <v>16</v>
      </c>
      <c r="N14" s="197"/>
      <c r="O14" s="187" t="s">
        <v>252</v>
      </c>
      <c r="P14" s="11"/>
      <c r="Q14" s="11"/>
      <c r="R14" s="251" t="s">
        <v>441</v>
      </c>
      <c r="S14" s="162" t="s">
        <v>38</v>
      </c>
      <c r="T14" s="258" t="s">
        <v>441</v>
      </c>
      <c r="U14" s="174"/>
      <c r="V14" s="162" t="s">
        <v>38</v>
      </c>
      <c r="W14" s="278"/>
    </row>
    <row r="15" spans="1:23" ht="132">
      <c r="A15" s="176">
        <v>14</v>
      </c>
      <c r="B15" s="8"/>
      <c r="C15" s="47"/>
      <c r="D15" s="86">
        <v>273</v>
      </c>
      <c r="E15" s="86" t="s">
        <v>108</v>
      </c>
      <c r="F15" s="89" t="s">
        <v>198</v>
      </c>
      <c r="G15" s="174" t="s">
        <v>386</v>
      </c>
      <c r="H15" s="174" t="s">
        <v>380</v>
      </c>
      <c r="I15" s="258" t="s">
        <v>419</v>
      </c>
      <c r="J15" s="100" t="s">
        <v>253</v>
      </c>
      <c r="K15" s="258" t="s">
        <v>442</v>
      </c>
      <c r="L15" s="258" t="s">
        <v>442</v>
      </c>
      <c r="M15" s="86" t="s">
        <v>14</v>
      </c>
      <c r="N15" s="197"/>
      <c r="O15" s="187" t="s">
        <v>251</v>
      </c>
      <c r="P15" s="11"/>
      <c r="Q15" s="11"/>
      <c r="R15" s="251" t="s">
        <v>442</v>
      </c>
      <c r="S15" s="251" t="s">
        <v>442</v>
      </c>
      <c r="T15" s="258" t="s">
        <v>442</v>
      </c>
      <c r="U15" s="234" t="s">
        <v>279</v>
      </c>
      <c r="V15" s="258" t="s">
        <v>442</v>
      </c>
      <c r="W15" s="234" t="s">
        <v>279</v>
      </c>
    </row>
    <row r="16" spans="1:23" ht="108">
      <c r="A16" s="176">
        <v>15</v>
      </c>
      <c r="B16" s="47"/>
      <c r="C16" s="47"/>
      <c r="D16" s="86">
        <v>274</v>
      </c>
      <c r="E16" s="86" t="s">
        <v>336</v>
      </c>
      <c r="F16" s="89" t="s">
        <v>199</v>
      </c>
      <c r="G16" s="174" t="s">
        <v>387</v>
      </c>
      <c r="H16" s="87" t="s">
        <v>150</v>
      </c>
      <c r="I16" s="258" t="s">
        <v>419</v>
      </c>
      <c r="J16" s="100" t="s">
        <v>288</v>
      </c>
      <c r="K16" s="258" t="s">
        <v>443</v>
      </c>
      <c r="L16" s="258" t="s">
        <v>443</v>
      </c>
      <c r="M16" s="86" t="s">
        <v>17</v>
      </c>
      <c r="N16" s="197"/>
      <c r="O16" s="187" t="s">
        <v>251</v>
      </c>
      <c r="P16" s="11"/>
      <c r="Q16" s="11"/>
      <c r="R16" s="251" t="s">
        <v>443</v>
      </c>
      <c r="S16" s="251" t="s">
        <v>443</v>
      </c>
      <c r="T16" s="258" t="s">
        <v>443</v>
      </c>
      <c r="U16" s="234" t="s">
        <v>305</v>
      </c>
      <c r="V16" s="258" t="s">
        <v>443</v>
      </c>
      <c r="W16" s="234" t="s">
        <v>305</v>
      </c>
    </row>
    <row r="17" spans="1:23" ht="84">
      <c r="A17" s="176">
        <v>16</v>
      </c>
      <c r="B17" s="47"/>
      <c r="C17" s="47"/>
      <c r="D17" s="86">
        <v>281</v>
      </c>
      <c r="E17" s="86" t="s">
        <v>338</v>
      </c>
      <c r="F17" s="89" t="s">
        <v>200</v>
      </c>
      <c r="G17" s="174" t="s">
        <v>388</v>
      </c>
      <c r="H17" s="87" t="s">
        <v>151</v>
      </c>
      <c r="I17" s="174" t="s">
        <v>420</v>
      </c>
      <c r="J17" s="100" t="s">
        <v>289</v>
      </c>
      <c r="K17" s="234" t="s">
        <v>38</v>
      </c>
      <c r="L17" s="234" t="s">
        <v>38</v>
      </c>
      <c r="M17" s="86" t="s">
        <v>17</v>
      </c>
      <c r="N17" s="197"/>
      <c r="O17" s="187" t="s">
        <v>251</v>
      </c>
      <c r="P17" s="11"/>
      <c r="Q17" s="11"/>
      <c r="R17" s="261" t="s">
        <v>38</v>
      </c>
      <c r="S17" s="261" t="s">
        <v>38</v>
      </c>
      <c r="T17" s="234" t="s">
        <v>38</v>
      </c>
      <c r="U17" s="174"/>
      <c r="V17" s="174" t="s">
        <v>38</v>
      </c>
      <c r="W17" s="47"/>
    </row>
    <row r="18" spans="1:23" ht="96">
      <c r="A18" s="176">
        <v>17</v>
      </c>
      <c r="B18" s="112"/>
      <c r="C18" s="112"/>
      <c r="D18" s="113">
        <v>296</v>
      </c>
      <c r="E18" s="113" t="s">
        <v>337</v>
      </c>
      <c r="F18" s="114" t="s">
        <v>201</v>
      </c>
      <c r="G18" s="115" t="s">
        <v>385</v>
      </c>
      <c r="H18" s="115" t="s">
        <v>258</v>
      </c>
      <c r="I18" s="115"/>
      <c r="J18" s="116"/>
      <c r="K18" s="164" t="s">
        <v>38</v>
      </c>
      <c r="L18" s="164" t="s">
        <v>38</v>
      </c>
      <c r="M18" s="171" t="s">
        <v>17</v>
      </c>
      <c r="N18" s="198"/>
      <c r="O18" s="188"/>
      <c r="P18" s="117"/>
      <c r="Q18" s="117"/>
      <c r="R18" s="164" t="s">
        <v>38</v>
      </c>
      <c r="S18" s="164" t="s">
        <v>38</v>
      </c>
      <c r="T18" s="164" t="s">
        <v>38</v>
      </c>
      <c r="U18" s="115"/>
      <c r="V18" s="164" t="s">
        <v>38</v>
      </c>
      <c r="W18" s="112"/>
    </row>
    <row r="19" spans="1:23" ht="132">
      <c r="A19" s="176">
        <v>18</v>
      </c>
      <c r="B19" s="129"/>
      <c r="C19" s="42"/>
      <c r="D19" s="86">
        <v>299</v>
      </c>
      <c r="E19" s="86" t="s">
        <v>108</v>
      </c>
      <c r="F19" s="89" t="s">
        <v>202</v>
      </c>
      <c r="G19" s="174" t="s">
        <v>389</v>
      </c>
      <c r="H19" s="174" t="s">
        <v>379</v>
      </c>
      <c r="I19" s="258" t="s">
        <v>421</v>
      </c>
      <c r="J19" s="100" t="s">
        <v>253</v>
      </c>
      <c r="K19" s="258" t="s">
        <v>444</v>
      </c>
      <c r="L19" s="258" t="s">
        <v>444</v>
      </c>
      <c r="M19" s="86" t="s">
        <v>14</v>
      </c>
      <c r="N19" s="193"/>
      <c r="O19" s="187" t="s">
        <v>251</v>
      </c>
      <c r="P19" s="9"/>
      <c r="Q19" s="9"/>
      <c r="R19" s="251" t="s">
        <v>444</v>
      </c>
      <c r="S19" s="251" t="s">
        <v>444</v>
      </c>
      <c r="T19" s="258" t="s">
        <v>444</v>
      </c>
      <c r="U19" s="234" t="s">
        <v>279</v>
      </c>
      <c r="V19" s="258" t="s">
        <v>444</v>
      </c>
      <c r="W19" s="47" t="s">
        <v>307</v>
      </c>
    </row>
    <row r="20" spans="1:23" ht="192">
      <c r="A20" s="176">
        <v>19</v>
      </c>
      <c r="B20" s="42"/>
      <c r="C20" s="42"/>
      <c r="D20" s="86">
        <v>300</v>
      </c>
      <c r="E20" s="86" t="s">
        <v>336</v>
      </c>
      <c r="F20" s="93" t="s">
        <v>203</v>
      </c>
      <c r="G20" s="174" t="s">
        <v>390</v>
      </c>
      <c r="H20" s="87" t="s">
        <v>152</v>
      </c>
      <c r="I20" s="258" t="s">
        <v>421</v>
      </c>
      <c r="J20" s="100" t="s">
        <v>263</v>
      </c>
      <c r="K20" s="258" t="s">
        <v>445</v>
      </c>
      <c r="L20" s="258" t="s">
        <v>445</v>
      </c>
      <c r="M20" s="86" t="s">
        <v>17</v>
      </c>
      <c r="N20" s="193"/>
      <c r="O20" s="187" t="s">
        <v>251</v>
      </c>
      <c r="P20" s="9"/>
      <c r="Q20" s="9"/>
      <c r="R20" s="251" t="s">
        <v>445</v>
      </c>
      <c r="S20" s="251" t="s">
        <v>445</v>
      </c>
      <c r="T20" s="258" t="s">
        <v>508</v>
      </c>
      <c r="U20" s="234" t="s">
        <v>305</v>
      </c>
      <c r="V20" s="258" t="s">
        <v>508</v>
      </c>
      <c r="W20" s="234" t="s">
        <v>305</v>
      </c>
    </row>
    <row r="21" spans="1:23" ht="48">
      <c r="A21" s="176">
        <v>20</v>
      </c>
      <c r="C21" s="42"/>
      <c r="D21" s="86">
        <v>307</v>
      </c>
      <c r="E21" s="86" t="s">
        <v>338</v>
      </c>
      <c r="F21" s="89" t="s">
        <v>204</v>
      </c>
      <c r="G21" s="174" t="s">
        <v>391</v>
      </c>
      <c r="H21" s="87" t="s">
        <v>153</v>
      </c>
      <c r="I21" s="174" t="s">
        <v>422</v>
      </c>
      <c r="J21" s="100" t="s">
        <v>263</v>
      </c>
      <c r="K21" s="234" t="s">
        <v>38</v>
      </c>
      <c r="L21" s="234" t="s">
        <v>38</v>
      </c>
      <c r="M21" s="86" t="s">
        <v>17</v>
      </c>
      <c r="N21" s="193"/>
      <c r="O21" s="187" t="s">
        <v>251</v>
      </c>
      <c r="P21" s="9"/>
      <c r="Q21" s="9"/>
      <c r="R21" s="261" t="s">
        <v>38</v>
      </c>
      <c r="S21" s="261" t="s">
        <v>38</v>
      </c>
      <c r="T21" s="234" t="s">
        <v>38</v>
      </c>
      <c r="U21" s="174"/>
      <c r="V21" s="234" t="s">
        <v>38</v>
      </c>
      <c r="W21" s="47"/>
    </row>
    <row r="22" spans="1:23" ht="120">
      <c r="A22" s="176">
        <v>21</v>
      </c>
      <c r="B22" s="111"/>
      <c r="C22" s="111"/>
      <c r="D22" s="113">
        <v>322</v>
      </c>
      <c r="E22" s="113">
        <v>9</v>
      </c>
      <c r="F22" s="102" t="s">
        <v>233</v>
      </c>
      <c r="G22" s="115" t="s">
        <v>86</v>
      </c>
      <c r="H22" s="115" t="s">
        <v>141</v>
      </c>
      <c r="I22" s="168"/>
      <c r="J22" s="104"/>
      <c r="K22" s="170" t="s">
        <v>249</v>
      </c>
      <c r="L22" s="105" t="s">
        <v>249</v>
      </c>
      <c r="M22" s="171" t="s">
        <v>15</v>
      </c>
      <c r="N22" s="199"/>
      <c r="O22" s="184"/>
      <c r="P22" s="106"/>
      <c r="Q22" s="106"/>
      <c r="R22" s="170" t="s">
        <v>249</v>
      </c>
      <c r="S22" s="105" t="s">
        <v>249</v>
      </c>
      <c r="T22" s="168" t="s">
        <v>249</v>
      </c>
      <c r="U22" s="168"/>
      <c r="V22" s="168" t="s">
        <v>249</v>
      </c>
      <c r="W22" s="169"/>
    </row>
    <row r="23" spans="1:23" ht="174" customHeight="1">
      <c r="A23" s="176">
        <v>22</v>
      </c>
      <c r="B23" s="81"/>
      <c r="C23" s="81"/>
      <c r="D23" s="86">
        <v>323</v>
      </c>
      <c r="E23" s="86" t="s">
        <v>19</v>
      </c>
      <c r="F23" s="75" t="s">
        <v>205</v>
      </c>
      <c r="G23" s="87" t="s">
        <v>51</v>
      </c>
      <c r="H23" s="87" t="s">
        <v>122</v>
      </c>
      <c r="I23" s="284"/>
      <c r="J23" s="78"/>
      <c r="K23" s="256" t="s">
        <v>446</v>
      </c>
      <c r="L23" s="256" t="s">
        <v>446</v>
      </c>
      <c r="M23" s="86" t="s">
        <v>17</v>
      </c>
      <c r="N23" s="182"/>
      <c r="O23" s="189" t="s">
        <v>251</v>
      </c>
      <c r="P23" s="79"/>
      <c r="Q23" s="79"/>
      <c r="R23" s="262" t="s">
        <v>446</v>
      </c>
      <c r="S23" s="262" t="s">
        <v>446</v>
      </c>
      <c r="T23" s="234" t="s">
        <v>38</v>
      </c>
      <c r="U23" s="81"/>
      <c r="V23" s="141"/>
      <c r="W23" s="80"/>
    </row>
    <row r="24" spans="1:23" ht="154.5" customHeight="1">
      <c r="A24" s="176">
        <v>23</v>
      </c>
      <c r="B24" s="74"/>
      <c r="C24" s="74"/>
      <c r="D24" s="86">
        <v>353</v>
      </c>
      <c r="E24" s="86" t="s">
        <v>19</v>
      </c>
      <c r="F24" s="75" t="s">
        <v>205</v>
      </c>
      <c r="G24" s="87" t="s">
        <v>52</v>
      </c>
      <c r="H24" s="87" t="s">
        <v>122</v>
      </c>
      <c r="I24" s="236"/>
      <c r="J24" s="78"/>
      <c r="K24" s="256" t="s">
        <v>446</v>
      </c>
      <c r="L24" s="256" t="s">
        <v>446</v>
      </c>
      <c r="M24" s="86" t="s">
        <v>17</v>
      </c>
      <c r="N24" s="182"/>
      <c r="O24" s="189" t="s">
        <v>251</v>
      </c>
      <c r="P24" s="79"/>
      <c r="Q24" s="79"/>
      <c r="R24" s="262" t="s">
        <v>446</v>
      </c>
      <c r="S24" s="262" t="s">
        <v>446</v>
      </c>
      <c r="T24" s="234" t="s">
        <v>38</v>
      </c>
      <c r="U24" s="81"/>
      <c r="V24" s="141"/>
      <c r="W24" s="80"/>
    </row>
    <row r="25" spans="1:23" ht="151.5" customHeight="1">
      <c r="A25" s="176">
        <v>24</v>
      </c>
      <c r="B25" s="74"/>
      <c r="C25" s="74"/>
      <c r="D25" s="86">
        <v>383</v>
      </c>
      <c r="E25" s="86" t="s">
        <v>19</v>
      </c>
      <c r="F25" s="75" t="s">
        <v>205</v>
      </c>
      <c r="G25" s="87" t="s">
        <v>53</v>
      </c>
      <c r="H25" s="87" t="s">
        <v>122</v>
      </c>
      <c r="I25" s="236"/>
      <c r="J25" s="78"/>
      <c r="K25" s="256" t="s">
        <v>446</v>
      </c>
      <c r="L25" s="256" t="s">
        <v>446</v>
      </c>
      <c r="M25" s="86" t="s">
        <v>17</v>
      </c>
      <c r="N25" s="182"/>
      <c r="O25" s="189" t="s">
        <v>251</v>
      </c>
      <c r="P25" s="79"/>
      <c r="Q25" s="79"/>
      <c r="R25" s="262" t="s">
        <v>446</v>
      </c>
      <c r="S25" s="262" t="s">
        <v>446</v>
      </c>
      <c r="T25" s="234" t="s">
        <v>38</v>
      </c>
      <c r="U25" s="81"/>
      <c r="V25" s="141"/>
      <c r="W25" s="80"/>
    </row>
    <row r="26" spans="1:23" ht="103.5" customHeight="1">
      <c r="A26" s="176">
        <v>25</v>
      </c>
      <c r="B26" s="74"/>
      <c r="C26" s="74"/>
      <c r="D26" s="86">
        <v>413</v>
      </c>
      <c r="E26" s="86" t="s">
        <v>19</v>
      </c>
      <c r="F26" s="75" t="s">
        <v>205</v>
      </c>
      <c r="G26" s="87" t="s">
        <v>54</v>
      </c>
      <c r="H26" s="87" t="s">
        <v>122</v>
      </c>
      <c r="I26" s="236"/>
      <c r="J26" s="78"/>
      <c r="K26" s="256" t="s">
        <v>446</v>
      </c>
      <c r="L26" s="256" t="s">
        <v>446</v>
      </c>
      <c r="M26" s="86" t="s">
        <v>17</v>
      </c>
      <c r="N26" s="182"/>
      <c r="O26" s="189" t="s">
        <v>251</v>
      </c>
      <c r="P26" s="79"/>
      <c r="Q26" s="79"/>
      <c r="R26" s="262" t="s">
        <v>446</v>
      </c>
      <c r="S26" s="262" t="s">
        <v>446</v>
      </c>
      <c r="T26" s="234" t="s">
        <v>38</v>
      </c>
      <c r="U26" s="81"/>
      <c r="V26" s="141"/>
      <c r="W26" s="80"/>
    </row>
    <row r="27" spans="1:23" ht="210" customHeight="1">
      <c r="A27" s="176">
        <v>26</v>
      </c>
      <c r="B27" s="74"/>
      <c r="C27" s="74"/>
      <c r="D27" s="86">
        <v>443</v>
      </c>
      <c r="E27" s="86" t="s">
        <v>19</v>
      </c>
      <c r="F27" s="75" t="s">
        <v>205</v>
      </c>
      <c r="G27" s="87" t="s">
        <v>55</v>
      </c>
      <c r="H27" s="87" t="s">
        <v>122</v>
      </c>
      <c r="I27" s="236"/>
      <c r="J27" s="78"/>
      <c r="K27" s="256" t="s">
        <v>446</v>
      </c>
      <c r="L27" s="256" t="s">
        <v>446</v>
      </c>
      <c r="M27" s="86" t="s">
        <v>17</v>
      </c>
      <c r="N27" s="182"/>
      <c r="O27" s="189" t="s">
        <v>251</v>
      </c>
      <c r="P27" s="79"/>
      <c r="Q27" s="79"/>
      <c r="R27" s="262" t="s">
        <v>446</v>
      </c>
      <c r="S27" s="262" t="s">
        <v>446</v>
      </c>
      <c r="T27" s="234" t="s">
        <v>38</v>
      </c>
      <c r="U27" s="81"/>
      <c r="V27" s="141"/>
      <c r="W27" s="80"/>
    </row>
    <row r="28" spans="1:23" ht="104.25" customHeight="1">
      <c r="A28" s="176">
        <v>27</v>
      </c>
      <c r="B28" s="74"/>
      <c r="C28" s="74"/>
      <c r="D28" s="86">
        <v>473</v>
      </c>
      <c r="E28" s="86" t="s">
        <v>19</v>
      </c>
      <c r="F28" s="75" t="s">
        <v>205</v>
      </c>
      <c r="G28" s="87" t="s">
        <v>56</v>
      </c>
      <c r="H28" s="87" t="s">
        <v>122</v>
      </c>
      <c r="I28" s="236"/>
      <c r="J28" s="78"/>
      <c r="K28" s="256" t="s">
        <v>446</v>
      </c>
      <c r="L28" s="256" t="s">
        <v>446</v>
      </c>
      <c r="M28" s="86" t="s">
        <v>17</v>
      </c>
      <c r="N28" s="182"/>
      <c r="O28" s="189" t="s">
        <v>251</v>
      </c>
      <c r="P28" s="79"/>
      <c r="Q28" s="79"/>
      <c r="R28" s="262" t="s">
        <v>446</v>
      </c>
      <c r="S28" s="262" t="s">
        <v>446</v>
      </c>
      <c r="T28" s="234" t="s">
        <v>38</v>
      </c>
      <c r="U28" s="81"/>
      <c r="V28" s="141"/>
      <c r="W28" s="80"/>
    </row>
    <row r="29" spans="1:23" ht="264" customHeight="1">
      <c r="A29" s="176">
        <v>28</v>
      </c>
      <c r="B29" s="81"/>
      <c r="C29" s="81"/>
      <c r="D29" s="86">
        <v>503</v>
      </c>
      <c r="E29" s="86" t="s">
        <v>109</v>
      </c>
      <c r="F29" s="75" t="s">
        <v>206</v>
      </c>
      <c r="G29" s="87" t="s">
        <v>57</v>
      </c>
      <c r="H29" s="87" t="s">
        <v>137</v>
      </c>
      <c r="I29" s="236"/>
      <c r="J29" s="11" t="s">
        <v>557</v>
      </c>
      <c r="K29" s="255" t="s">
        <v>428</v>
      </c>
      <c r="L29" s="255" t="s">
        <v>429</v>
      </c>
      <c r="M29" s="86" t="s">
        <v>14</v>
      </c>
      <c r="N29" s="183"/>
      <c r="O29" s="189" t="s">
        <v>251</v>
      </c>
      <c r="P29" s="79"/>
      <c r="Q29" s="79"/>
      <c r="R29" s="263" t="s">
        <v>428</v>
      </c>
      <c r="S29" s="263" t="s">
        <v>429</v>
      </c>
      <c r="T29" s="255" t="s">
        <v>509</v>
      </c>
      <c r="U29" s="140"/>
      <c r="V29" s="255" t="s">
        <v>509</v>
      </c>
      <c r="W29" s="140"/>
    </row>
    <row r="30" spans="1:23" ht="47.25" customHeight="1">
      <c r="A30" s="176">
        <v>29</v>
      </c>
      <c r="B30" s="81"/>
      <c r="C30" s="81"/>
      <c r="D30" s="86">
        <v>527</v>
      </c>
      <c r="E30" s="86" t="s">
        <v>110</v>
      </c>
      <c r="F30" s="75" t="s">
        <v>290</v>
      </c>
      <c r="G30" s="87" t="s">
        <v>339</v>
      </c>
      <c r="H30" s="87" t="s">
        <v>207</v>
      </c>
      <c r="I30" s="140"/>
      <c r="J30" s="76"/>
      <c r="K30" s="140" t="s">
        <v>291</v>
      </c>
      <c r="L30" s="140" t="s">
        <v>291</v>
      </c>
      <c r="M30" s="86" t="s">
        <v>17</v>
      </c>
      <c r="N30" s="200"/>
      <c r="O30" s="182" t="s">
        <v>251</v>
      </c>
      <c r="P30" s="9"/>
      <c r="Q30" s="9"/>
      <c r="R30" s="264" t="s">
        <v>291</v>
      </c>
      <c r="S30" s="264" t="s">
        <v>291</v>
      </c>
      <c r="T30" s="140" t="s">
        <v>291</v>
      </c>
      <c r="U30" s="140"/>
      <c r="V30" s="140" t="s">
        <v>291</v>
      </c>
      <c r="W30" s="81"/>
    </row>
    <row r="31" spans="1:23" ht="26.25" customHeight="1">
      <c r="A31" s="176">
        <v>30</v>
      </c>
      <c r="B31" s="74"/>
      <c r="C31" s="74"/>
      <c r="D31" s="86">
        <v>607</v>
      </c>
      <c r="E31" s="86" t="s">
        <v>117</v>
      </c>
      <c r="F31" s="75"/>
      <c r="G31" s="87" t="s">
        <v>62</v>
      </c>
      <c r="H31" s="87" t="s">
        <v>124</v>
      </c>
      <c r="I31" s="140"/>
      <c r="J31" s="76"/>
      <c r="K31" s="255" t="s">
        <v>293</v>
      </c>
      <c r="L31" s="255" t="s">
        <v>293</v>
      </c>
      <c r="M31" s="86" t="s">
        <v>14</v>
      </c>
      <c r="N31" s="193"/>
      <c r="O31" s="182" t="s">
        <v>251</v>
      </c>
      <c r="P31" s="9"/>
      <c r="Q31" s="9"/>
      <c r="R31" s="263" t="s">
        <v>293</v>
      </c>
      <c r="S31" s="263" t="s">
        <v>293</v>
      </c>
      <c r="T31" s="255" t="s">
        <v>293</v>
      </c>
      <c r="U31" s="140"/>
      <c r="V31" s="255" t="s">
        <v>293</v>
      </c>
      <c r="W31" s="81"/>
    </row>
    <row r="32" spans="1:23" ht="36.75" customHeight="1">
      <c r="A32" s="176">
        <v>31</v>
      </c>
      <c r="B32" s="74"/>
      <c r="C32" s="74"/>
      <c r="D32" s="86">
        <v>616</v>
      </c>
      <c r="E32" s="86" t="s">
        <v>340</v>
      </c>
      <c r="F32" s="75" t="s">
        <v>213</v>
      </c>
      <c r="G32" s="87" t="s">
        <v>63</v>
      </c>
      <c r="H32" s="87" t="s">
        <v>125</v>
      </c>
      <c r="I32" s="140"/>
      <c r="J32" s="76"/>
      <c r="K32" s="255" t="s">
        <v>293</v>
      </c>
      <c r="L32" s="255" t="s">
        <v>293</v>
      </c>
      <c r="M32" s="86" t="s">
        <v>14</v>
      </c>
      <c r="N32" s="193"/>
      <c r="O32" s="182" t="s">
        <v>251</v>
      </c>
      <c r="P32" s="9"/>
      <c r="Q32" s="9"/>
      <c r="R32" s="263" t="s">
        <v>293</v>
      </c>
      <c r="S32" s="263" t="s">
        <v>293</v>
      </c>
      <c r="T32" s="255" t="s">
        <v>293</v>
      </c>
      <c r="U32" s="140"/>
      <c r="V32" s="255" t="s">
        <v>293</v>
      </c>
      <c r="W32" s="81"/>
    </row>
    <row r="33" spans="1:23" ht="38.25" customHeight="1">
      <c r="A33" s="176">
        <v>32</v>
      </c>
      <c r="B33" s="74"/>
      <c r="C33" s="74"/>
      <c r="D33" s="86">
        <v>625</v>
      </c>
      <c r="E33" s="86" t="s">
        <v>112</v>
      </c>
      <c r="F33" s="75" t="s">
        <v>214</v>
      </c>
      <c r="G33" s="87" t="s">
        <v>64</v>
      </c>
      <c r="H33" s="87" t="s">
        <v>138</v>
      </c>
      <c r="I33" s="140"/>
      <c r="J33" s="76"/>
      <c r="K33" s="255" t="s">
        <v>294</v>
      </c>
      <c r="L33" s="255" t="s">
        <v>294</v>
      </c>
      <c r="M33" s="86" t="s">
        <v>14</v>
      </c>
      <c r="N33" s="193"/>
      <c r="O33" s="182" t="s">
        <v>251</v>
      </c>
      <c r="P33" s="9"/>
      <c r="Q33" s="9"/>
      <c r="R33" s="263" t="s">
        <v>294</v>
      </c>
      <c r="S33" s="263" t="s">
        <v>294</v>
      </c>
      <c r="T33" s="255" t="s">
        <v>294</v>
      </c>
      <c r="U33" s="140"/>
      <c r="V33" s="255" t="s">
        <v>294</v>
      </c>
      <c r="W33" s="81"/>
    </row>
    <row r="34" spans="1:23" ht="36.75" customHeight="1">
      <c r="A34" s="176">
        <v>33</v>
      </c>
      <c r="B34" s="74"/>
      <c r="C34" s="74"/>
      <c r="D34" s="86">
        <v>628</v>
      </c>
      <c r="E34" s="86" t="s">
        <v>18</v>
      </c>
      <c r="F34" s="75" t="s">
        <v>215</v>
      </c>
      <c r="G34" s="87" t="s">
        <v>65</v>
      </c>
      <c r="H34" s="87" t="s">
        <v>139</v>
      </c>
      <c r="I34" s="140"/>
      <c r="J34" s="76"/>
      <c r="K34" s="255" t="s">
        <v>295</v>
      </c>
      <c r="L34" s="255" t="s">
        <v>295</v>
      </c>
      <c r="M34" s="86" t="s">
        <v>14</v>
      </c>
      <c r="N34" s="193"/>
      <c r="O34" s="182" t="s">
        <v>251</v>
      </c>
      <c r="P34" s="9"/>
      <c r="Q34" s="9"/>
      <c r="R34" s="263" t="s">
        <v>295</v>
      </c>
      <c r="S34" s="263" t="s">
        <v>295</v>
      </c>
      <c r="T34" s="255" t="s">
        <v>295</v>
      </c>
      <c r="U34" s="140"/>
      <c r="V34" s="255" t="s">
        <v>295</v>
      </c>
      <c r="W34" s="81"/>
    </row>
    <row r="35" spans="1:23" ht="168">
      <c r="A35" s="176">
        <v>34</v>
      </c>
      <c r="B35" s="81"/>
      <c r="C35" s="81"/>
      <c r="D35" s="86">
        <v>632</v>
      </c>
      <c r="E35" s="86" t="s">
        <v>341</v>
      </c>
      <c r="F35" s="75" t="s">
        <v>347</v>
      </c>
      <c r="G35" s="87" t="s">
        <v>66</v>
      </c>
      <c r="H35" s="87" t="s">
        <v>346</v>
      </c>
      <c r="I35" s="140"/>
      <c r="J35" s="2" t="s">
        <v>262</v>
      </c>
      <c r="K35" s="172" t="s">
        <v>291</v>
      </c>
      <c r="L35" s="140" t="s">
        <v>291</v>
      </c>
      <c r="M35" s="86" t="s">
        <v>17</v>
      </c>
      <c r="N35" s="194"/>
      <c r="O35" s="182" t="s">
        <v>257</v>
      </c>
      <c r="P35" s="83"/>
      <c r="Q35" s="83"/>
      <c r="R35" s="172" t="s">
        <v>291</v>
      </c>
      <c r="S35" s="264" t="s">
        <v>291</v>
      </c>
      <c r="T35" s="172" t="s">
        <v>291</v>
      </c>
      <c r="U35" s="165"/>
      <c r="V35" s="140" t="s">
        <v>291</v>
      </c>
      <c r="W35" s="81"/>
    </row>
    <row r="36" spans="1:23" ht="84">
      <c r="A36" s="176">
        <v>35</v>
      </c>
      <c r="B36" s="111"/>
      <c r="C36" s="111"/>
      <c r="D36" s="113">
        <v>647</v>
      </c>
      <c r="E36" s="113" t="s">
        <v>108</v>
      </c>
      <c r="F36" s="102" t="s">
        <v>216</v>
      </c>
      <c r="G36" s="115" t="s">
        <v>67</v>
      </c>
      <c r="H36" s="122" t="s">
        <v>157</v>
      </c>
      <c r="I36" s="168"/>
      <c r="J36" s="123" t="s">
        <v>253</v>
      </c>
      <c r="K36" s="170" t="s">
        <v>291</v>
      </c>
      <c r="L36" s="170" t="s">
        <v>291</v>
      </c>
      <c r="M36" s="171" t="s">
        <v>17</v>
      </c>
      <c r="N36" s="199"/>
      <c r="O36" s="184"/>
      <c r="P36" s="106"/>
      <c r="Q36" s="106"/>
      <c r="R36" s="170" t="s">
        <v>291</v>
      </c>
      <c r="S36" s="170" t="s">
        <v>291</v>
      </c>
      <c r="T36" s="170" t="s">
        <v>291</v>
      </c>
      <c r="U36" s="168"/>
      <c r="V36" s="170" t="s">
        <v>291</v>
      </c>
      <c r="W36" s="169"/>
    </row>
    <row r="37" spans="1:23" ht="120">
      <c r="A37" s="176">
        <v>36</v>
      </c>
      <c r="B37" s="110"/>
      <c r="C37" s="110"/>
      <c r="D37" s="113">
        <v>648</v>
      </c>
      <c r="E37" s="113" t="s">
        <v>107</v>
      </c>
      <c r="F37" s="102" t="s">
        <v>217</v>
      </c>
      <c r="G37" s="115" t="s">
        <v>68</v>
      </c>
      <c r="H37" s="115" t="s">
        <v>265</v>
      </c>
      <c r="I37" s="168"/>
      <c r="J37" s="123" t="s">
        <v>264</v>
      </c>
      <c r="K37" s="164" t="s">
        <v>249</v>
      </c>
      <c r="L37" s="164" t="s">
        <v>249</v>
      </c>
      <c r="M37" s="171" t="s">
        <v>15</v>
      </c>
      <c r="N37" s="201"/>
      <c r="O37" s="184"/>
      <c r="P37" s="126"/>
      <c r="Q37" s="126"/>
      <c r="R37" s="164" t="s">
        <v>249</v>
      </c>
      <c r="S37" s="164" t="s">
        <v>249</v>
      </c>
      <c r="T37" s="168" t="s">
        <v>249</v>
      </c>
      <c r="U37" s="117"/>
      <c r="V37" s="168" t="s">
        <v>249</v>
      </c>
      <c r="W37" s="117"/>
    </row>
    <row r="38" spans="1:23" ht="168">
      <c r="A38" s="176">
        <v>37</v>
      </c>
      <c r="B38" s="74"/>
      <c r="C38" s="74"/>
      <c r="D38" s="86">
        <v>650</v>
      </c>
      <c r="E38" s="88" t="s">
        <v>108</v>
      </c>
      <c r="F38" s="75" t="s">
        <v>218</v>
      </c>
      <c r="G38" s="87" t="s">
        <v>69</v>
      </c>
      <c r="H38" s="87" t="s">
        <v>158</v>
      </c>
      <c r="I38" s="140" t="s">
        <v>431</v>
      </c>
      <c r="J38" s="76"/>
      <c r="K38" s="172" t="s">
        <v>38</v>
      </c>
      <c r="L38" s="236" t="s">
        <v>447</v>
      </c>
      <c r="M38" s="86" t="s">
        <v>17</v>
      </c>
      <c r="N38" s="193"/>
      <c r="O38" s="182" t="s">
        <v>257</v>
      </c>
      <c r="P38" s="9"/>
      <c r="Q38" s="9"/>
      <c r="R38" s="172" t="s">
        <v>38</v>
      </c>
      <c r="S38" s="265" t="s">
        <v>479</v>
      </c>
      <c r="T38" s="172" t="s">
        <v>38</v>
      </c>
      <c r="U38" s="172"/>
      <c r="V38" s="236" t="s">
        <v>510</v>
      </c>
      <c r="W38" s="174"/>
    </row>
    <row r="39" spans="1:23" ht="96">
      <c r="A39" s="176">
        <v>38</v>
      </c>
      <c r="B39" s="74"/>
      <c r="C39" s="74"/>
      <c r="D39" s="86">
        <v>651</v>
      </c>
      <c r="E39" s="86" t="s">
        <v>333</v>
      </c>
      <c r="F39" s="75" t="s">
        <v>219</v>
      </c>
      <c r="G39" s="87" t="s">
        <v>70</v>
      </c>
      <c r="H39" s="87" t="s">
        <v>159</v>
      </c>
      <c r="I39" s="255" t="s">
        <v>522</v>
      </c>
      <c r="J39" s="76"/>
      <c r="K39" s="140" t="s">
        <v>558</v>
      </c>
      <c r="L39" s="140" t="s">
        <v>558</v>
      </c>
      <c r="M39" s="86" t="s">
        <v>17</v>
      </c>
      <c r="N39" s="193"/>
      <c r="O39" s="182" t="s">
        <v>251</v>
      </c>
      <c r="P39" s="9"/>
      <c r="Q39" s="9"/>
      <c r="R39" s="264" t="s">
        <v>448</v>
      </c>
      <c r="S39" s="264" t="s">
        <v>448</v>
      </c>
      <c r="T39" s="140" t="s">
        <v>448</v>
      </c>
      <c r="U39" s="140"/>
      <c r="V39" s="140" t="s">
        <v>448</v>
      </c>
      <c r="W39" s="81"/>
    </row>
    <row r="40" spans="1:23" ht="288">
      <c r="A40" s="176">
        <v>39</v>
      </c>
      <c r="B40" s="74"/>
      <c r="C40" s="74"/>
      <c r="D40" s="86">
        <v>660</v>
      </c>
      <c r="E40" s="88" t="s">
        <v>108</v>
      </c>
      <c r="F40" s="75" t="s">
        <v>220</v>
      </c>
      <c r="G40" s="87" t="s">
        <v>71</v>
      </c>
      <c r="H40" s="87" t="s">
        <v>160</v>
      </c>
      <c r="I40" s="140" t="s">
        <v>432</v>
      </c>
      <c r="J40" s="76"/>
      <c r="K40" s="172" t="s">
        <v>38</v>
      </c>
      <c r="L40" s="236" t="s">
        <v>449</v>
      </c>
      <c r="M40" s="86" t="s">
        <v>17</v>
      </c>
      <c r="N40" s="193"/>
      <c r="O40" s="182" t="s">
        <v>257</v>
      </c>
      <c r="P40" s="9"/>
      <c r="Q40" s="9"/>
      <c r="R40" s="172" t="s">
        <v>38</v>
      </c>
      <c r="S40" s="265" t="s">
        <v>478</v>
      </c>
      <c r="T40" s="172" t="s">
        <v>38</v>
      </c>
      <c r="U40" s="172"/>
      <c r="V40" s="236" t="s">
        <v>511</v>
      </c>
      <c r="W40" s="140"/>
    </row>
    <row r="41" spans="1:23" ht="302.25" customHeight="1">
      <c r="A41" s="176">
        <v>40</v>
      </c>
      <c r="B41" s="74"/>
      <c r="C41" s="74"/>
      <c r="D41" s="86">
        <v>661</v>
      </c>
      <c r="E41" s="86" t="s">
        <v>108</v>
      </c>
      <c r="F41" s="75" t="s">
        <v>221</v>
      </c>
      <c r="G41" s="87" t="s">
        <v>72</v>
      </c>
      <c r="H41" s="87" t="s">
        <v>140</v>
      </c>
      <c r="I41" s="140"/>
      <c r="J41" s="76"/>
      <c r="K41" s="172" t="s">
        <v>38</v>
      </c>
      <c r="L41" s="140" t="s">
        <v>38</v>
      </c>
      <c r="M41" s="86" t="s">
        <v>17</v>
      </c>
      <c r="N41" s="193"/>
      <c r="O41" s="182" t="s">
        <v>257</v>
      </c>
      <c r="P41" s="9"/>
      <c r="Q41" s="9"/>
      <c r="R41" s="172" t="s">
        <v>38</v>
      </c>
      <c r="S41" s="264" t="s">
        <v>38</v>
      </c>
      <c r="T41" s="172" t="s">
        <v>38</v>
      </c>
      <c r="U41" s="172"/>
      <c r="V41" s="140" t="s">
        <v>38</v>
      </c>
      <c r="W41" s="81"/>
    </row>
    <row r="42" spans="1:23" ht="59.25" customHeight="1">
      <c r="A42" s="176">
        <v>41</v>
      </c>
      <c r="B42" s="74"/>
      <c r="C42" s="74"/>
      <c r="D42" s="86">
        <v>662</v>
      </c>
      <c r="E42" s="86" t="s">
        <v>108</v>
      </c>
      <c r="F42" s="75" t="s">
        <v>222</v>
      </c>
      <c r="G42" s="87" t="s">
        <v>73</v>
      </c>
      <c r="H42" s="87" t="s">
        <v>161</v>
      </c>
      <c r="I42" s="174"/>
      <c r="J42" s="167"/>
      <c r="K42" s="172" t="s">
        <v>38</v>
      </c>
      <c r="L42" s="140" t="s">
        <v>38</v>
      </c>
      <c r="M42" s="86" t="s">
        <v>17</v>
      </c>
      <c r="N42" s="193"/>
      <c r="O42" s="182" t="s">
        <v>257</v>
      </c>
      <c r="P42" s="9"/>
      <c r="Q42" s="9"/>
      <c r="R42" s="172" t="s">
        <v>38</v>
      </c>
      <c r="S42" s="266" t="s">
        <v>38</v>
      </c>
      <c r="T42" s="172" t="s">
        <v>38</v>
      </c>
      <c r="U42" s="172"/>
      <c r="V42" s="140" t="s">
        <v>38</v>
      </c>
      <c r="W42" s="81"/>
    </row>
    <row r="43" spans="1:23" ht="162.75" customHeight="1">
      <c r="A43" s="176">
        <v>42</v>
      </c>
      <c r="B43" s="74"/>
      <c r="C43" s="74"/>
      <c r="D43" s="86">
        <v>663</v>
      </c>
      <c r="E43" s="86" t="s">
        <v>108</v>
      </c>
      <c r="F43" s="75" t="s">
        <v>223</v>
      </c>
      <c r="G43" s="87" t="s">
        <v>74</v>
      </c>
      <c r="H43" s="87" t="s">
        <v>162</v>
      </c>
      <c r="J43" s="167"/>
      <c r="K43" s="172" t="s">
        <v>38</v>
      </c>
      <c r="L43" s="236" t="s">
        <v>38</v>
      </c>
      <c r="M43" s="86" t="s">
        <v>17</v>
      </c>
      <c r="N43" s="193"/>
      <c r="O43" s="182" t="s">
        <v>257</v>
      </c>
      <c r="P43" s="9"/>
      <c r="Q43" s="9"/>
      <c r="R43" s="172" t="s">
        <v>38</v>
      </c>
      <c r="S43" s="267" t="s">
        <v>38</v>
      </c>
      <c r="T43" s="172" t="s">
        <v>38</v>
      </c>
      <c r="U43" s="172"/>
      <c r="V43" s="140" t="s">
        <v>38</v>
      </c>
      <c r="W43" s="81"/>
    </row>
    <row r="44" spans="1:23" ht="122.25" customHeight="1">
      <c r="A44" s="176">
        <v>43</v>
      </c>
      <c r="B44" s="81"/>
      <c r="C44" s="81"/>
      <c r="D44" s="86">
        <v>664</v>
      </c>
      <c r="E44" s="86">
        <v>9</v>
      </c>
      <c r="F44" s="75" t="s">
        <v>224</v>
      </c>
      <c r="G44" s="87" t="s">
        <v>76</v>
      </c>
      <c r="H44" s="87" t="s">
        <v>126</v>
      </c>
      <c r="I44" s="140"/>
      <c r="J44" s="76"/>
      <c r="K44" s="258" t="s">
        <v>450</v>
      </c>
      <c r="L44" s="258" t="s">
        <v>450</v>
      </c>
      <c r="M44" s="86" t="s">
        <v>17</v>
      </c>
      <c r="N44" s="202"/>
      <c r="O44" s="182" t="s">
        <v>251</v>
      </c>
      <c r="P44" s="9"/>
      <c r="Q44" s="9"/>
      <c r="R44" s="251" t="s">
        <v>450</v>
      </c>
      <c r="S44" s="251" t="s">
        <v>450</v>
      </c>
      <c r="T44" s="258" t="s">
        <v>450</v>
      </c>
      <c r="U44" s="258"/>
      <c r="V44" s="258" t="s">
        <v>450</v>
      </c>
      <c r="W44" s="81"/>
    </row>
    <row r="45" spans="1:23" ht="84">
      <c r="A45" s="176">
        <v>44</v>
      </c>
      <c r="B45" s="74"/>
      <c r="C45" s="74"/>
      <c r="D45" s="86">
        <v>665</v>
      </c>
      <c r="E45" s="86" t="s">
        <v>106</v>
      </c>
      <c r="F45" s="75" t="s">
        <v>191</v>
      </c>
      <c r="G45" s="87" t="s">
        <v>77</v>
      </c>
      <c r="H45" s="87" t="s">
        <v>127</v>
      </c>
      <c r="I45" s="140"/>
      <c r="J45" s="76"/>
      <c r="K45" s="258" t="s">
        <v>451</v>
      </c>
      <c r="L45" s="258" t="s">
        <v>451</v>
      </c>
      <c r="M45" s="86" t="s">
        <v>17</v>
      </c>
      <c r="N45" s="193"/>
      <c r="O45" s="182" t="s">
        <v>251</v>
      </c>
      <c r="P45" s="9"/>
      <c r="Q45" s="9"/>
      <c r="R45" s="251" t="s">
        <v>451</v>
      </c>
      <c r="S45" s="251" t="s">
        <v>451</v>
      </c>
      <c r="T45" s="258" t="s">
        <v>451</v>
      </c>
      <c r="U45" s="174"/>
      <c r="V45" s="258" t="s">
        <v>451</v>
      </c>
      <c r="W45" s="174"/>
    </row>
    <row r="46" spans="1:23" ht="153.75" customHeight="1">
      <c r="A46" s="176">
        <v>45</v>
      </c>
      <c r="B46" s="81"/>
      <c r="C46" s="81"/>
      <c r="D46" s="86">
        <v>670</v>
      </c>
      <c r="E46" s="86" t="s">
        <v>108</v>
      </c>
      <c r="F46" s="75" t="s">
        <v>225</v>
      </c>
      <c r="G46" s="87" t="s">
        <v>79</v>
      </c>
      <c r="H46" s="87" t="s">
        <v>163</v>
      </c>
      <c r="I46" s="140" t="s">
        <v>433</v>
      </c>
      <c r="J46" s="76"/>
      <c r="K46" s="172" t="s">
        <v>38</v>
      </c>
      <c r="L46" s="255" t="s">
        <v>452</v>
      </c>
      <c r="M46" s="86" t="s">
        <v>17</v>
      </c>
      <c r="N46" s="194"/>
      <c r="O46" s="182" t="s">
        <v>257</v>
      </c>
      <c r="P46" s="83"/>
      <c r="Q46" s="83"/>
      <c r="R46" s="172" t="s">
        <v>38</v>
      </c>
      <c r="S46" s="263" t="s">
        <v>480</v>
      </c>
      <c r="T46" s="172" t="s">
        <v>38</v>
      </c>
      <c r="U46" s="165"/>
      <c r="V46" s="140" t="s">
        <v>38</v>
      </c>
      <c r="W46" s="140"/>
    </row>
    <row r="47" spans="1:23" ht="192">
      <c r="A47" s="176">
        <v>46</v>
      </c>
      <c r="B47" s="74"/>
      <c r="C47" s="74"/>
      <c r="D47" s="86">
        <v>671</v>
      </c>
      <c r="E47" s="86" t="s">
        <v>108</v>
      </c>
      <c r="F47" s="75" t="s">
        <v>226</v>
      </c>
      <c r="G47" s="87" t="s">
        <v>80</v>
      </c>
      <c r="H47" s="87" t="s">
        <v>165</v>
      </c>
      <c r="I47" s="140"/>
      <c r="J47" s="76"/>
      <c r="K47" s="172" t="s">
        <v>38</v>
      </c>
      <c r="L47" s="140" t="s">
        <v>38</v>
      </c>
      <c r="M47" s="86" t="s">
        <v>17</v>
      </c>
      <c r="N47" s="193"/>
      <c r="O47" s="182" t="s">
        <v>257</v>
      </c>
      <c r="P47" s="9"/>
      <c r="Q47" s="9"/>
      <c r="R47" s="172" t="s">
        <v>38</v>
      </c>
      <c r="S47" s="266" t="s">
        <v>38</v>
      </c>
      <c r="T47" s="172" t="s">
        <v>38</v>
      </c>
      <c r="U47" s="172"/>
      <c r="V47" s="140" t="s">
        <v>38</v>
      </c>
      <c r="W47" s="81"/>
    </row>
    <row r="48" spans="1:23" ht="216">
      <c r="A48" s="176">
        <v>47</v>
      </c>
      <c r="B48" s="74"/>
      <c r="C48" s="74"/>
      <c r="D48" s="86">
        <v>672</v>
      </c>
      <c r="E48" s="86" t="s">
        <v>108</v>
      </c>
      <c r="F48" s="75" t="s">
        <v>227</v>
      </c>
      <c r="G48" s="87" t="s">
        <v>81</v>
      </c>
      <c r="H48" s="87" t="s">
        <v>164</v>
      </c>
      <c r="I48" s="140"/>
      <c r="J48" s="76"/>
      <c r="K48" s="172" t="s">
        <v>38</v>
      </c>
      <c r="L48" s="140" t="s">
        <v>38</v>
      </c>
      <c r="M48" s="86" t="s">
        <v>17</v>
      </c>
      <c r="N48" s="193"/>
      <c r="O48" s="182" t="s">
        <v>257</v>
      </c>
      <c r="P48" s="9"/>
      <c r="Q48" s="9"/>
      <c r="R48" s="172" t="s">
        <v>38</v>
      </c>
      <c r="S48" s="266" t="s">
        <v>38</v>
      </c>
      <c r="T48" s="172" t="s">
        <v>38</v>
      </c>
      <c r="U48" s="172"/>
      <c r="V48" s="140" t="s">
        <v>38</v>
      </c>
      <c r="W48" s="81"/>
    </row>
    <row r="49" spans="1:23" ht="168">
      <c r="A49" s="176">
        <v>48</v>
      </c>
      <c r="B49" s="74"/>
      <c r="C49" s="74"/>
      <c r="D49" s="86">
        <v>673</v>
      </c>
      <c r="E49" s="86" t="s">
        <v>108</v>
      </c>
      <c r="F49" s="75" t="s">
        <v>228</v>
      </c>
      <c r="G49" s="87" t="s">
        <v>82</v>
      </c>
      <c r="H49" s="87" t="s">
        <v>166</v>
      </c>
      <c r="I49" s="140"/>
      <c r="J49" s="76"/>
      <c r="K49" s="172" t="s">
        <v>38</v>
      </c>
      <c r="L49" s="140" t="s">
        <v>38</v>
      </c>
      <c r="M49" s="86" t="s">
        <v>17</v>
      </c>
      <c r="N49" s="193"/>
      <c r="O49" s="182" t="s">
        <v>257</v>
      </c>
      <c r="P49" s="9"/>
      <c r="Q49" s="9"/>
      <c r="R49" s="172" t="s">
        <v>38</v>
      </c>
      <c r="S49" s="266" t="s">
        <v>38</v>
      </c>
      <c r="T49" s="172" t="s">
        <v>38</v>
      </c>
      <c r="U49" s="279"/>
      <c r="V49" s="140" t="s">
        <v>38</v>
      </c>
      <c r="W49" s="81"/>
    </row>
    <row r="50" spans="1:23" ht="216">
      <c r="A50" s="176">
        <v>49</v>
      </c>
      <c r="B50" s="81"/>
      <c r="C50" s="81"/>
      <c r="D50" s="86">
        <v>674</v>
      </c>
      <c r="E50" s="86" t="s">
        <v>108</v>
      </c>
      <c r="F50" s="75" t="s">
        <v>229</v>
      </c>
      <c r="G50" s="87" t="s">
        <v>83</v>
      </c>
      <c r="H50" s="87" t="s">
        <v>170</v>
      </c>
      <c r="I50" s="140"/>
      <c r="J50" s="76"/>
      <c r="K50" s="172" t="s">
        <v>38</v>
      </c>
      <c r="L50" s="140" t="s">
        <v>38</v>
      </c>
      <c r="M50" s="86" t="s">
        <v>17</v>
      </c>
      <c r="N50" s="203"/>
      <c r="O50" s="182" t="s">
        <v>257</v>
      </c>
      <c r="P50" s="9"/>
      <c r="Q50" s="9"/>
      <c r="R50" s="172" t="s">
        <v>38</v>
      </c>
      <c r="S50" s="266" t="s">
        <v>38</v>
      </c>
      <c r="T50" s="172" t="s">
        <v>38</v>
      </c>
      <c r="U50" s="172"/>
      <c r="V50" s="140" t="s">
        <v>38</v>
      </c>
      <c r="W50" s="81"/>
    </row>
    <row r="51" spans="1:23" ht="189.75" customHeight="1">
      <c r="A51" s="176">
        <v>50</v>
      </c>
      <c r="B51" s="74"/>
      <c r="C51" s="74"/>
      <c r="D51" s="86">
        <v>675</v>
      </c>
      <c r="E51" s="86" t="s">
        <v>108</v>
      </c>
      <c r="F51" s="75" t="s">
        <v>230</v>
      </c>
      <c r="G51" s="87" t="s">
        <v>84</v>
      </c>
      <c r="H51" s="87" t="s">
        <v>167</v>
      </c>
      <c r="I51" s="140"/>
      <c r="J51" s="76"/>
      <c r="K51" s="172" t="s">
        <v>38</v>
      </c>
      <c r="L51" s="310" t="s">
        <v>553</v>
      </c>
      <c r="M51" s="86" t="s">
        <v>17</v>
      </c>
      <c r="N51" s="193"/>
      <c r="O51" s="182" t="s">
        <v>257</v>
      </c>
      <c r="P51" s="9"/>
      <c r="Q51" s="9"/>
      <c r="R51" s="172" t="s">
        <v>38</v>
      </c>
      <c r="S51" s="266" t="s">
        <v>446</v>
      </c>
      <c r="T51" s="172" t="s">
        <v>38</v>
      </c>
      <c r="U51" s="172"/>
      <c r="V51" s="140" t="s">
        <v>446</v>
      </c>
      <c r="W51" s="140"/>
    </row>
    <row r="52" spans="1:23" ht="114.75" customHeight="1">
      <c r="A52" s="176">
        <v>51</v>
      </c>
      <c r="B52" s="111"/>
      <c r="C52" s="111"/>
      <c r="D52" s="101">
        <v>676</v>
      </c>
      <c r="E52" s="113" t="s">
        <v>108</v>
      </c>
      <c r="F52" s="102" t="s">
        <v>231</v>
      </c>
      <c r="G52" s="115" t="s">
        <v>104</v>
      </c>
      <c r="H52" s="122" t="s">
        <v>168</v>
      </c>
      <c r="I52" s="168"/>
      <c r="J52" s="104"/>
      <c r="K52" s="104"/>
      <c r="L52" s="105"/>
      <c r="M52" s="33" t="s">
        <v>17</v>
      </c>
      <c r="N52" s="193"/>
      <c r="O52" s="184"/>
      <c r="P52" s="106"/>
      <c r="Q52" s="106"/>
      <c r="R52" s="104"/>
      <c r="S52" s="105"/>
      <c r="T52" s="168"/>
      <c r="U52" s="168"/>
      <c r="V52" s="168"/>
      <c r="W52" s="169"/>
    </row>
    <row r="53" spans="1:23" ht="72">
      <c r="A53" s="176">
        <v>52</v>
      </c>
      <c r="B53" s="81"/>
      <c r="C53" s="81"/>
      <c r="D53" s="86">
        <v>677</v>
      </c>
      <c r="E53" s="86" t="s">
        <v>108</v>
      </c>
      <c r="F53" s="75" t="s">
        <v>232</v>
      </c>
      <c r="G53" s="87" t="s">
        <v>85</v>
      </c>
      <c r="H53" s="87" t="s">
        <v>169</v>
      </c>
      <c r="I53" s="140"/>
      <c r="J53" s="76"/>
      <c r="K53" s="172" t="s">
        <v>38</v>
      </c>
      <c r="L53" s="140" t="s">
        <v>38</v>
      </c>
      <c r="M53" s="86" t="s">
        <v>17</v>
      </c>
      <c r="N53" s="203"/>
      <c r="O53" s="182" t="s">
        <v>257</v>
      </c>
      <c r="P53" s="9"/>
      <c r="Q53" s="9"/>
      <c r="R53" s="172" t="s">
        <v>38</v>
      </c>
      <c r="S53" s="266" t="s">
        <v>38</v>
      </c>
      <c r="T53" s="172" t="s">
        <v>38</v>
      </c>
      <c r="U53" s="172"/>
      <c r="V53" s="140" t="s">
        <v>38</v>
      </c>
      <c r="W53" s="81"/>
    </row>
    <row r="54" spans="1:23" ht="96">
      <c r="A54" s="176">
        <v>53</v>
      </c>
      <c r="B54" s="74"/>
      <c r="C54" s="74"/>
      <c r="D54" s="86">
        <v>678</v>
      </c>
      <c r="E54" s="86" t="s">
        <v>333</v>
      </c>
      <c r="F54" s="75" t="s">
        <v>234</v>
      </c>
      <c r="G54" s="59" t="s">
        <v>87</v>
      </c>
      <c r="H54" s="87" t="s">
        <v>179</v>
      </c>
      <c r="I54" s="140" t="s">
        <v>418</v>
      </c>
      <c r="J54" s="2" t="s">
        <v>180</v>
      </c>
      <c r="K54" s="255" t="s">
        <v>453</v>
      </c>
      <c r="L54" s="255" t="s">
        <v>453</v>
      </c>
      <c r="M54" s="86" t="s">
        <v>17</v>
      </c>
      <c r="N54" s="193"/>
      <c r="O54" s="182" t="s">
        <v>251</v>
      </c>
      <c r="P54" s="9"/>
      <c r="Q54" s="9"/>
      <c r="R54" s="255" t="s">
        <v>453</v>
      </c>
      <c r="S54" s="255" t="s">
        <v>453</v>
      </c>
      <c r="T54" s="255" t="s">
        <v>453</v>
      </c>
      <c r="U54" s="140"/>
      <c r="V54" s="255" t="s">
        <v>453</v>
      </c>
      <c r="W54" s="81"/>
    </row>
    <row r="55" spans="1:23" ht="48">
      <c r="A55" s="176">
        <v>54</v>
      </c>
      <c r="B55" s="81"/>
      <c r="C55" s="81"/>
      <c r="D55" s="86">
        <v>687</v>
      </c>
      <c r="E55" s="86" t="s">
        <v>113</v>
      </c>
      <c r="F55" s="75" t="s">
        <v>235</v>
      </c>
      <c r="G55" s="87" t="s">
        <v>88</v>
      </c>
      <c r="H55" s="87" t="s">
        <v>128</v>
      </c>
      <c r="I55" s="140" t="s">
        <v>423</v>
      </c>
      <c r="J55" s="76"/>
      <c r="K55" s="255" t="s">
        <v>454</v>
      </c>
      <c r="L55" s="255" t="s">
        <v>454</v>
      </c>
      <c r="M55" s="86" t="s">
        <v>17</v>
      </c>
      <c r="N55" s="203"/>
      <c r="O55" s="182" t="s">
        <v>251</v>
      </c>
      <c r="P55" s="9"/>
      <c r="Q55" s="9"/>
      <c r="R55" s="255" t="s">
        <v>454</v>
      </c>
      <c r="S55" s="255" t="s">
        <v>454</v>
      </c>
      <c r="T55" s="255" t="s">
        <v>454</v>
      </c>
      <c r="U55" s="140"/>
      <c r="V55" s="255" t="s">
        <v>454</v>
      </c>
      <c r="W55" s="81"/>
    </row>
    <row r="56" spans="1:23" ht="94.5" customHeight="1">
      <c r="A56" s="176">
        <v>55</v>
      </c>
      <c r="B56" s="81"/>
      <c r="C56" s="81"/>
      <c r="D56" s="86">
        <v>704</v>
      </c>
      <c r="E56" s="86" t="s">
        <v>108</v>
      </c>
      <c r="F56" s="75" t="s">
        <v>236</v>
      </c>
      <c r="G56" s="87" t="s">
        <v>89</v>
      </c>
      <c r="H56" s="87" t="s">
        <v>402</v>
      </c>
      <c r="I56" s="140" t="s">
        <v>424</v>
      </c>
      <c r="J56" s="76"/>
      <c r="K56" s="255" t="s">
        <v>455</v>
      </c>
      <c r="L56" s="255" t="s">
        <v>455</v>
      </c>
      <c r="M56" s="86" t="s">
        <v>17</v>
      </c>
      <c r="N56" s="193"/>
      <c r="O56" s="182" t="s">
        <v>251</v>
      </c>
      <c r="P56" s="9"/>
      <c r="Q56" s="9"/>
      <c r="R56" s="255" t="s">
        <v>455</v>
      </c>
      <c r="S56" s="255" t="s">
        <v>455</v>
      </c>
      <c r="T56" s="255" t="s">
        <v>455</v>
      </c>
      <c r="U56" s="140"/>
      <c r="V56" s="255" t="s">
        <v>455</v>
      </c>
      <c r="W56" s="81"/>
    </row>
    <row r="57" spans="1:23" ht="107.25" customHeight="1">
      <c r="A57" s="176">
        <v>56</v>
      </c>
      <c r="B57" s="74"/>
      <c r="C57" s="74"/>
      <c r="D57" s="86">
        <v>705</v>
      </c>
      <c r="E57" s="86" t="s">
        <v>114</v>
      </c>
      <c r="F57" s="75" t="s">
        <v>237</v>
      </c>
      <c r="G57" s="87" t="s">
        <v>90</v>
      </c>
      <c r="H57" s="87" t="s">
        <v>129</v>
      </c>
      <c r="I57" s="285"/>
      <c r="J57" s="76"/>
      <c r="K57" s="237" t="s">
        <v>562</v>
      </c>
      <c r="L57" s="237" t="s">
        <v>562</v>
      </c>
      <c r="M57" s="86" t="s">
        <v>17</v>
      </c>
      <c r="N57" s="193"/>
      <c r="O57" s="182" t="s">
        <v>251</v>
      </c>
      <c r="P57" s="9"/>
      <c r="Q57" s="9"/>
      <c r="R57" s="2" t="s">
        <v>456</v>
      </c>
      <c r="S57" s="2" t="s">
        <v>456</v>
      </c>
      <c r="T57" s="255" t="s">
        <v>512</v>
      </c>
      <c r="U57" s="237" t="s">
        <v>562</v>
      </c>
      <c r="V57" s="255" t="s">
        <v>512</v>
      </c>
      <c r="W57" s="237" t="s">
        <v>562</v>
      </c>
    </row>
    <row r="58" spans="1:23" ht="123.75" customHeight="1">
      <c r="A58" s="176">
        <v>57</v>
      </c>
      <c r="B58" s="74"/>
      <c r="C58" s="74"/>
      <c r="D58" s="86">
        <v>727</v>
      </c>
      <c r="E58" s="86" t="s">
        <v>108</v>
      </c>
      <c r="F58" s="75" t="s">
        <v>238</v>
      </c>
      <c r="G58" s="87" t="s">
        <v>91</v>
      </c>
      <c r="H58" s="87" t="s">
        <v>367</v>
      </c>
      <c r="I58" s="285"/>
      <c r="J58" s="2" t="s">
        <v>368</v>
      </c>
      <c r="K58" s="255" t="s">
        <v>457</v>
      </c>
      <c r="L58" s="255" t="s">
        <v>457</v>
      </c>
      <c r="M58" s="86" t="s">
        <v>17</v>
      </c>
      <c r="N58" s="193"/>
      <c r="O58" s="182" t="s">
        <v>251</v>
      </c>
      <c r="P58" s="9"/>
      <c r="Q58" s="9"/>
      <c r="R58" s="255" t="s">
        <v>457</v>
      </c>
      <c r="S58" s="255" t="s">
        <v>457</v>
      </c>
      <c r="T58" s="255" t="s">
        <v>457</v>
      </c>
      <c r="U58" s="216"/>
      <c r="V58" s="255" t="s">
        <v>457</v>
      </c>
      <c r="W58" s="216"/>
    </row>
    <row r="59" spans="1:23" ht="24">
      <c r="A59" s="176">
        <v>58</v>
      </c>
      <c r="B59" s="74"/>
      <c r="C59" s="74"/>
      <c r="D59" s="86">
        <v>728</v>
      </c>
      <c r="E59" s="86" t="s">
        <v>333</v>
      </c>
      <c r="F59" s="75" t="s">
        <v>239</v>
      </c>
      <c r="G59" s="87" t="s">
        <v>92</v>
      </c>
      <c r="H59" s="87" t="s">
        <v>130</v>
      </c>
      <c r="I59" s="140"/>
      <c r="J59" s="76"/>
      <c r="K59" s="255" t="s">
        <v>291</v>
      </c>
      <c r="L59" s="255" t="s">
        <v>291</v>
      </c>
      <c r="M59" s="86" t="s">
        <v>17</v>
      </c>
      <c r="N59" s="193"/>
      <c r="O59" s="182" t="s">
        <v>251</v>
      </c>
      <c r="P59" s="9"/>
      <c r="Q59" s="9"/>
      <c r="R59" s="255" t="s">
        <v>291</v>
      </c>
      <c r="S59" s="255" t="s">
        <v>291</v>
      </c>
      <c r="T59" s="255" t="s">
        <v>291</v>
      </c>
      <c r="U59" s="140"/>
      <c r="V59" s="255" t="s">
        <v>291</v>
      </c>
      <c r="W59" s="81"/>
    </row>
    <row r="60" spans="1:23" ht="180" customHeight="1">
      <c r="A60" s="176">
        <v>59</v>
      </c>
      <c r="B60" s="74"/>
      <c r="C60" s="74"/>
      <c r="D60" s="86">
        <v>737</v>
      </c>
      <c r="E60" s="86" t="s">
        <v>333</v>
      </c>
      <c r="F60" s="75" t="s">
        <v>240</v>
      </c>
      <c r="G60" s="87" t="s">
        <v>93</v>
      </c>
      <c r="H60" s="87" t="s">
        <v>131</v>
      </c>
      <c r="I60" s="140"/>
      <c r="J60" s="2" t="s">
        <v>323</v>
      </c>
      <c r="K60" s="255" t="s">
        <v>458</v>
      </c>
      <c r="L60" s="255" t="s">
        <v>458</v>
      </c>
      <c r="M60" s="86" t="s">
        <v>17</v>
      </c>
      <c r="N60" s="193"/>
      <c r="O60" s="182" t="s">
        <v>251</v>
      </c>
      <c r="P60" s="9"/>
      <c r="Q60" s="9"/>
      <c r="R60" s="255" t="s">
        <v>458</v>
      </c>
      <c r="S60" s="255" t="s">
        <v>458</v>
      </c>
      <c r="T60" s="255" t="s">
        <v>458</v>
      </c>
      <c r="U60" s="140"/>
      <c r="V60" s="140"/>
      <c r="W60" s="140"/>
    </row>
    <row r="61" spans="1:23" ht="225.75" customHeight="1">
      <c r="A61" s="176">
        <v>60</v>
      </c>
      <c r="B61" s="74"/>
      <c r="C61" s="74"/>
      <c r="D61" s="86">
        <v>746</v>
      </c>
      <c r="E61" s="86" t="s">
        <v>108</v>
      </c>
      <c r="F61" s="75" t="s">
        <v>241</v>
      </c>
      <c r="G61" s="59" t="s">
        <v>94</v>
      </c>
      <c r="H61" s="87" t="s">
        <v>172</v>
      </c>
      <c r="I61" s="140" t="s">
        <v>415</v>
      </c>
      <c r="J61" s="76"/>
      <c r="K61" s="140" t="s">
        <v>382</v>
      </c>
      <c r="L61" s="140" t="s">
        <v>382</v>
      </c>
      <c r="M61" s="86" t="s">
        <v>14</v>
      </c>
      <c r="N61" s="193"/>
      <c r="O61" s="182" t="s">
        <v>251</v>
      </c>
      <c r="P61" s="9"/>
      <c r="Q61" s="9"/>
      <c r="R61" s="140" t="s">
        <v>382</v>
      </c>
      <c r="S61" s="140" t="s">
        <v>382</v>
      </c>
      <c r="T61" s="140" t="s">
        <v>382</v>
      </c>
      <c r="U61" s="140"/>
      <c r="V61" s="140" t="s">
        <v>382</v>
      </c>
      <c r="W61" s="81"/>
    </row>
    <row r="62" spans="1:23" ht="156">
      <c r="A62" s="176">
        <v>61</v>
      </c>
      <c r="B62" s="74"/>
      <c r="C62" s="74"/>
      <c r="D62" s="86">
        <v>747</v>
      </c>
      <c r="E62" s="86">
        <v>9</v>
      </c>
      <c r="F62" s="75" t="s">
        <v>242</v>
      </c>
      <c r="G62" s="87" t="s">
        <v>95</v>
      </c>
      <c r="H62" s="87" t="s">
        <v>308</v>
      </c>
      <c r="I62" s="140"/>
      <c r="J62" s="2" t="s">
        <v>309</v>
      </c>
      <c r="K62" s="255" t="s">
        <v>459</v>
      </c>
      <c r="L62" s="255" t="s">
        <v>459</v>
      </c>
      <c r="M62" s="86" t="s">
        <v>14</v>
      </c>
      <c r="N62" s="193"/>
      <c r="O62" s="182" t="s">
        <v>251</v>
      </c>
      <c r="P62" s="9"/>
      <c r="Q62" s="9"/>
      <c r="R62" s="255" t="s">
        <v>459</v>
      </c>
      <c r="S62" s="255" t="s">
        <v>459</v>
      </c>
      <c r="T62" s="255" t="s">
        <v>513</v>
      </c>
      <c r="U62" s="140"/>
      <c r="V62" s="255" t="s">
        <v>513</v>
      </c>
      <c r="W62" s="81"/>
    </row>
    <row r="63" spans="1:23" ht="202.5" customHeight="1">
      <c r="A63" s="176">
        <v>62</v>
      </c>
      <c r="B63" s="74"/>
      <c r="C63" s="74"/>
      <c r="D63" s="86">
        <v>748</v>
      </c>
      <c r="E63" s="86" t="s">
        <v>108</v>
      </c>
      <c r="F63" s="75" t="s">
        <v>243</v>
      </c>
      <c r="G63" s="87" t="s">
        <v>96</v>
      </c>
      <c r="H63" s="87" t="s">
        <v>173</v>
      </c>
      <c r="I63" s="140"/>
      <c r="J63" s="128"/>
      <c r="K63" s="173" t="s">
        <v>291</v>
      </c>
      <c r="L63" s="255" t="s">
        <v>291</v>
      </c>
      <c r="M63" s="86" t="s">
        <v>17</v>
      </c>
      <c r="N63" s="193"/>
      <c r="O63" s="182" t="s">
        <v>257</v>
      </c>
      <c r="P63" s="9"/>
      <c r="Q63" s="9"/>
      <c r="R63" s="173" t="s">
        <v>291</v>
      </c>
      <c r="S63" s="255" t="s">
        <v>291</v>
      </c>
      <c r="T63" s="173" t="s">
        <v>291</v>
      </c>
      <c r="U63" s="172"/>
      <c r="V63" s="255" t="s">
        <v>291</v>
      </c>
      <c r="W63" s="81"/>
    </row>
    <row r="64" spans="1:23" ht="12.75" customHeight="1">
      <c r="A64" s="176">
        <v>63</v>
      </c>
      <c r="B64" s="110"/>
      <c r="C64" s="110"/>
      <c r="D64" s="113">
        <v>749</v>
      </c>
      <c r="E64" s="113" t="s">
        <v>116</v>
      </c>
      <c r="F64" s="102"/>
      <c r="G64" s="115" t="s">
        <v>101</v>
      </c>
      <c r="H64" s="115"/>
      <c r="I64" s="168"/>
      <c r="J64" s="104"/>
      <c r="K64" s="104"/>
      <c r="L64" s="130"/>
      <c r="M64" s="171"/>
      <c r="N64" s="201"/>
      <c r="O64" s="184"/>
      <c r="P64" s="106"/>
      <c r="Q64" s="106"/>
      <c r="R64" s="104"/>
      <c r="S64" s="130"/>
      <c r="T64" s="168"/>
      <c r="U64" s="168"/>
      <c r="V64" s="117"/>
      <c r="W64" s="169"/>
    </row>
    <row r="65" spans="1:23" ht="48">
      <c r="A65" s="176">
        <v>64</v>
      </c>
      <c r="B65" s="81"/>
      <c r="C65" s="81"/>
      <c r="D65" s="86">
        <v>749</v>
      </c>
      <c r="E65" s="86" t="s">
        <v>342</v>
      </c>
      <c r="F65" s="75"/>
      <c r="G65" s="87" t="s">
        <v>102</v>
      </c>
      <c r="H65" s="87" t="s">
        <v>133</v>
      </c>
      <c r="I65" s="140"/>
      <c r="J65" s="2" t="s">
        <v>313</v>
      </c>
      <c r="K65" s="255" t="s">
        <v>291</v>
      </c>
      <c r="L65" s="255" t="s">
        <v>291</v>
      </c>
      <c r="M65" s="86" t="s">
        <v>17</v>
      </c>
      <c r="N65" s="203"/>
      <c r="O65" s="182" t="s">
        <v>251</v>
      </c>
      <c r="P65" s="9"/>
      <c r="Q65" s="9"/>
      <c r="R65" s="255" t="s">
        <v>291</v>
      </c>
      <c r="S65" s="255" t="s">
        <v>291</v>
      </c>
      <c r="T65" s="255" t="s">
        <v>291</v>
      </c>
      <c r="U65" s="140"/>
      <c r="V65" s="255" t="s">
        <v>291</v>
      </c>
      <c r="W65" s="81"/>
    </row>
    <row r="66" spans="1:23" ht="48">
      <c r="A66" s="176">
        <v>65</v>
      </c>
      <c r="B66" s="81"/>
      <c r="C66" s="81"/>
      <c r="D66" s="84">
        <v>752</v>
      </c>
      <c r="E66" s="84" t="s">
        <v>340</v>
      </c>
      <c r="F66" s="75"/>
      <c r="G66" s="87" t="s">
        <v>103</v>
      </c>
      <c r="H66" s="87" t="s">
        <v>134</v>
      </c>
      <c r="I66" s="140"/>
      <c r="J66" s="2" t="s">
        <v>313</v>
      </c>
      <c r="K66" s="255" t="s">
        <v>291</v>
      </c>
      <c r="L66" s="255" t="s">
        <v>291</v>
      </c>
      <c r="M66" s="86" t="s">
        <v>17</v>
      </c>
      <c r="N66" s="203"/>
      <c r="O66" s="182" t="s">
        <v>251</v>
      </c>
      <c r="P66" s="9"/>
      <c r="Q66" s="9"/>
      <c r="R66" s="255" t="s">
        <v>291</v>
      </c>
      <c r="S66" s="255" t="s">
        <v>291</v>
      </c>
      <c r="T66" s="255" t="s">
        <v>291</v>
      </c>
      <c r="U66" s="140"/>
      <c r="V66" s="255" t="s">
        <v>291</v>
      </c>
      <c r="W66" s="81"/>
    </row>
    <row r="67" spans="1:23" ht="120">
      <c r="A67" s="176">
        <v>66</v>
      </c>
      <c r="B67" s="74"/>
      <c r="C67" s="74"/>
      <c r="D67" s="86">
        <v>761</v>
      </c>
      <c r="E67" s="86" t="s">
        <v>108</v>
      </c>
      <c r="F67" s="75" t="s">
        <v>244</v>
      </c>
      <c r="G67" s="87" t="s">
        <v>98</v>
      </c>
      <c r="H67" s="87" t="s">
        <v>174</v>
      </c>
      <c r="I67" s="140"/>
      <c r="J67" s="76"/>
      <c r="K67" s="173" t="s">
        <v>291</v>
      </c>
      <c r="L67" s="255" t="s">
        <v>291</v>
      </c>
      <c r="M67" s="86" t="s">
        <v>17</v>
      </c>
      <c r="N67" s="193"/>
      <c r="O67" s="182" t="s">
        <v>257</v>
      </c>
      <c r="P67" s="9"/>
      <c r="Q67" s="9"/>
      <c r="R67" s="173" t="s">
        <v>291</v>
      </c>
      <c r="S67" s="173" t="s">
        <v>291</v>
      </c>
      <c r="T67" s="173" t="s">
        <v>291</v>
      </c>
      <c r="U67" s="172"/>
      <c r="V67" s="255" t="s">
        <v>291</v>
      </c>
      <c r="W67" s="81"/>
    </row>
    <row r="68" spans="1:23" ht="24">
      <c r="A68" s="176">
        <v>67</v>
      </c>
      <c r="B68" s="81"/>
      <c r="C68" s="81"/>
      <c r="D68" s="84">
        <v>762</v>
      </c>
      <c r="E68" s="84" t="s">
        <v>348</v>
      </c>
      <c r="F68" s="75" t="s">
        <v>212</v>
      </c>
      <c r="G68" s="87" t="s">
        <v>349</v>
      </c>
      <c r="H68" s="87" t="s">
        <v>353</v>
      </c>
      <c r="I68" s="140"/>
      <c r="J68" s="2"/>
      <c r="K68" s="255" t="s">
        <v>291</v>
      </c>
      <c r="L68" s="255" t="s">
        <v>291</v>
      </c>
      <c r="M68" s="86" t="s">
        <v>17</v>
      </c>
      <c r="N68" s="203"/>
      <c r="O68" s="182" t="s">
        <v>251</v>
      </c>
      <c r="P68" s="9"/>
      <c r="Q68" s="9"/>
      <c r="R68" s="255" t="s">
        <v>291</v>
      </c>
      <c r="S68" s="255" t="s">
        <v>291</v>
      </c>
      <c r="T68" s="255" t="s">
        <v>291</v>
      </c>
      <c r="U68" s="140"/>
      <c r="V68" s="255" t="s">
        <v>291</v>
      </c>
      <c r="W68" s="81"/>
    </row>
    <row r="69" spans="1:23" ht="48">
      <c r="A69" s="176">
        <v>68</v>
      </c>
      <c r="B69" s="81"/>
      <c r="C69" s="81"/>
      <c r="D69" s="84">
        <v>777</v>
      </c>
      <c r="E69" s="84" t="s">
        <v>350</v>
      </c>
      <c r="F69" s="75" t="s">
        <v>352</v>
      </c>
      <c r="G69" s="87" t="s">
        <v>351</v>
      </c>
      <c r="H69" s="87" t="s">
        <v>355</v>
      </c>
      <c r="I69" s="140"/>
      <c r="J69" s="2" t="s">
        <v>354</v>
      </c>
      <c r="K69" s="255" t="s">
        <v>291</v>
      </c>
      <c r="L69" s="255" t="s">
        <v>291</v>
      </c>
      <c r="M69" s="86" t="s">
        <v>17</v>
      </c>
      <c r="N69" s="203"/>
      <c r="O69" s="182" t="s">
        <v>251</v>
      </c>
      <c r="P69" s="9"/>
      <c r="Q69" s="9"/>
      <c r="R69" s="255" t="s">
        <v>291</v>
      </c>
      <c r="S69" s="255" t="s">
        <v>291</v>
      </c>
      <c r="T69" s="255" t="s">
        <v>291</v>
      </c>
      <c r="U69" s="140"/>
      <c r="V69" s="255" t="s">
        <v>291</v>
      </c>
      <c r="W69" s="81"/>
    </row>
    <row r="70" spans="1:23">
      <c r="A70" s="176">
        <v>69</v>
      </c>
      <c r="B70" s="111"/>
      <c r="C70" s="111"/>
      <c r="D70" s="113">
        <v>781</v>
      </c>
      <c r="E70" s="113" t="s">
        <v>108</v>
      </c>
      <c r="F70" s="102"/>
      <c r="G70" s="139" t="s">
        <v>356</v>
      </c>
      <c r="H70" s="139" t="s">
        <v>371</v>
      </c>
      <c r="I70" s="168"/>
      <c r="J70" s="104"/>
      <c r="K70" s="170" t="s">
        <v>291</v>
      </c>
      <c r="L70" s="170" t="s">
        <v>291</v>
      </c>
      <c r="M70" s="163" t="s">
        <v>17</v>
      </c>
      <c r="N70" s="199"/>
      <c r="O70" s="184"/>
      <c r="P70" s="106"/>
      <c r="Q70" s="106"/>
      <c r="R70" s="170" t="s">
        <v>291</v>
      </c>
      <c r="S70" s="170" t="s">
        <v>291</v>
      </c>
      <c r="T70" s="170" t="s">
        <v>291</v>
      </c>
      <c r="U70" s="168"/>
      <c r="V70" s="170" t="s">
        <v>291</v>
      </c>
      <c r="W70" s="169"/>
    </row>
    <row r="71" spans="1:23">
      <c r="A71" s="176">
        <v>70</v>
      </c>
      <c r="B71" s="111"/>
      <c r="C71" s="111"/>
      <c r="D71" s="113">
        <v>782</v>
      </c>
      <c r="E71" s="113" t="s">
        <v>108</v>
      </c>
      <c r="F71" s="102"/>
      <c r="G71" s="139" t="s">
        <v>357</v>
      </c>
      <c r="H71" s="139" t="s">
        <v>371</v>
      </c>
      <c r="I71" s="168"/>
      <c r="J71" s="104"/>
      <c r="K71" s="170" t="s">
        <v>291</v>
      </c>
      <c r="L71" s="170" t="s">
        <v>291</v>
      </c>
      <c r="M71" s="163" t="s">
        <v>17</v>
      </c>
      <c r="N71" s="199"/>
      <c r="O71" s="184"/>
      <c r="P71" s="106"/>
      <c r="Q71" s="106"/>
      <c r="R71" s="170" t="s">
        <v>291</v>
      </c>
      <c r="S71" s="170" t="s">
        <v>291</v>
      </c>
      <c r="T71" s="170" t="s">
        <v>291</v>
      </c>
      <c r="U71" s="168"/>
      <c r="V71" s="170" t="s">
        <v>291</v>
      </c>
      <c r="W71" s="169"/>
    </row>
    <row r="72" spans="1:23" ht="120">
      <c r="A72" s="176">
        <v>71</v>
      </c>
      <c r="B72" s="111"/>
      <c r="C72" s="111"/>
      <c r="D72" s="113">
        <v>783</v>
      </c>
      <c r="E72" s="113" t="s">
        <v>109</v>
      </c>
      <c r="F72" s="102"/>
      <c r="G72" s="115" t="s">
        <v>58</v>
      </c>
      <c r="H72" s="124" t="s">
        <v>154</v>
      </c>
      <c r="I72" s="105"/>
      <c r="J72" s="111"/>
      <c r="K72" s="166" t="s">
        <v>38</v>
      </c>
      <c r="L72" s="166" t="s">
        <v>38</v>
      </c>
      <c r="M72" s="171" t="s">
        <v>17</v>
      </c>
      <c r="N72" s="184"/>
      <c r="O72" s="185"/>
      <c r="P72" s="109"/>
      <c r="Q72" s="109"/>
      <c r="R72" s="166" t="s">
        <v>38</v>
      </c>
      <c r="S72" s="166" t="s">
        <v>38</v>
      </c>
      <c r="T72" s="166" t="s">
        <v>38</v>
      </c>
      <c r="U72" s="169"/>
      <c r="V72" s="166" t="s">
        <v>38</v>
      </c>
      <c r="W72" s="107"/>
    </row>
    <row r="73" spans="1:23" ht="120">
      <c r="A73" s="176">
        <v>72</v>
      </c>
      <c r="B73" s="111"/>
      <c r="C73" s="111"/>
      <c r="D73" s="113">
        <v>807</v>
      </c>
      <c r="E73" s="113" t="s">
        <v>109</v>
      </c>
      <c r="F73" s="102"/>
      <c r="G73" s="115" t="s">
        <v>358</v>
      </c>
      <c r="H73" s="124" t="s">
        <v>154</v>
      </c>
      <c r="I73" s="105"/>
      <c r="J73" s="111"/>
      <c r="K73" s="166" t="s">
        <v>38</v>
      </c>
      <c r="L73" s="166" t="s">
        <v>38</v>
      </c>
      <c r="M73" s="171" t="s">
        <v>17</v>
      </c>
      <c r="N73" s="184"/>
      <c r="O73" s="185"/>
      <c r="P73" s="109"/>
      <c r="Q73" s="109"/>
      <c r="R73" s="166" t="s">
        <v>38</v>
      </c>
      <c r="S73" s="166" t="s">
        <v>38</v>
      </c>
      <c r="T73" s="166" t="s">
        <v>38</v>
      </c>
      <c r="U73" s="169"/>
      <c r="V73" s="166" t="s">
        <v>38</v>
      </c>
      <c r="W73" s="107"/>
    </row>
    <row r="74" spans="1:23" ht="24">
      <c r="A74" s="176">
        <v>73</v>
      </c>
      <c r="B74" s="111"/>
      <c r="C74" s="111"/>
      <c r="D74" s="113">
        <v>831</v>
      </c>
      <c r="E74" s="113" t="s">
        <v>115</v>
      </c>
      <c r="F74" s="102"/>
      <c r="G74" s="155" t="s">
        <v>343</v>
      </c>
      <c r="H74" s="115" t="s">
        <v>132</v>
      </c>
      <c r="I74" s="168"/>
      <c r="J74" s="104"/>
      <c r="K74" s="170" t="s">
        <v>344</v>
      </c>
      <c r="L74" s="170" t="s">
        <v>344</v>
      </c>
      <c r="M74" s="171" t="s">
        <v>15</v>
      </c>
      <c r="N74" s="199"/>
      <c r="O74" s="184"/>
      <c r="P74" s="106"/>
      <c r="Q74" s="106"/>
      <c r="R74" s="170" t="s">
        <v>344</v>
      </c>
      <c r="S74" s="170" t="s">
        <v>344</v>
      </c>
      <c r="T74" s="170" t="s">
        <v>344</v>
      </c>
      <c r="U74" s="168"/>
      <c r="V74" s="170" t="s">
        <v>344</v>
      </c>
      <c r="W74" s="169"/>
    </row>
    <row r="75" spans="1:23" ht="48">
      <c r="A75" s="176">
        <v>74</v>
      </c>
      <c r="B75" s="111"/>
      <c r="C75" s="111"/>
      <c r="D75" s="113">
        <v>839</v>
      </c>
      <c r="E75" s="113" t="s">
        <v>115</v>
      </c>
      <c r="F75" s="102"/>
      <c r="G75" s="155" t="s">
        <v>99</v>
      </c>
      <c r="H75" s="115" t="s">
        <v>175</v>
      </c>
      <c r="I75" s="168"/>
      <c r="J75" s="104"/>
      <c r="K75" s="170" t="s">
        <v>345</v>
      </c>
      <c r="L75" s="170" t="s">
        <v>345</v>
      </c>
      <c r="M75" s="171" t="s">
        <v>15</v>
      </c>
      <c r="N75" s="199"/>
      <c r="O75" s="184"/>
      <c r="P75" s="106"/>
      <c r="Q75" s="106"/>
      <c r="R75" s="170" t="s">
        <v>345</v>
      </c>
      <c r="S75" s="170" t="s">
        <v>345</v>
      </c>
      <c r="T75" s="170" t="s">
        <v>345</v>
      </c>
      <c r="U75" s="168"/>
      <c r="V75" s="170" t="s">
        <v>345</v>
      </c>
      <c r="W75" s="169"/>
    </row>
    <row r="76" spans="1:23" ht="211.5" customHeight="1">
      <c r="A76" s="176">
        <v>75</v>
      </c>
      <c r="B76" s="74"/>
      <c r="C76" s="74"/>
      <c r="D76" s="86">
        <v>847</v>
      </c>
      <c r="E76" s="86" t="s">
        <v>111</v>
      </c>
      <c r="F76" s="75" t="s">
        <v>208</v>
      </c>
      <c r="G76" s="87" t="s">
        <v>246</v>
      </c>
      <c r="H76" s="87" t="s">
        <v>247</v>
      </c>
      <c r="I76" s="174" t="s">
        <v>523</v>
      </c>
      <c r="J76" s="79" t="s">
        <v>310</v>
      </c>
      <c r="K76" s="237" t="s">
        <v>554</v>
      </c>
      <c r="L76" s="237" t="s">
        <v>554</v>
      </c>
      <c r="M76" s="86" t="s">
        <v>17</v>
      </c>
      <c r="N76" s="193"/>
      <c r="O76" s="182" t="s">
        <v>251</v>
      </c>
      <c r="P76" s="9"/>
      <c r="Q76" s="9"/>
      <c r="R76" s="215" t="s">
        <v>460</v>
      </c>
      <c r="S76" s="215" t="s">
        <v>460</v>
      </c>
      <c r="T76" s="255" t="s">
        <v>514</v>
      </c>
      <c r="U76" s="215" t="s">
        <v>460</v>
      </c>
      <c r="V76" s="255" t="s">
        <v>514</v>
      </c>
      <c r="W76" s="215" t="s">
        <v>460</v>
      </c>
    </row>
    <row r="77" spans="1:23" ht="256.5" customHeight="1">
      <c r="A77" s="176">
        <v>76</v>
      </c>
      <c r="B77" s="81"/>
      <c r="C77" s="81"/>
      <c r="D77" s="86">
        <v>848</v>
      </c>
      <c r="E77" s="86" t="s">
        <v>111</v>
      </c>
      <c r="F77" s="75" t="s">
        <v>208</v>
      </c>
      <c r="G77" s="175" t="s">
        <v>383</v>
      </c>
      <c r="H77" s="87" t="s">
        <v>209</v>
      </c>
      <c r="I77" s="140" t="s">
        <v>523</v>
      </c>
      <c r="J77" s="2" t="s">
        <v>210</v>
      </c>
      <c r="K77" s="2" t="s">
        <v>461</v>
      </c>
      <c r="L77" s="2" t="s">
        <v>461</v>
      </c>
      <c r="M77" s="86" t="s">
        <v>17</v>
      </c>
      <c r="N77" s="200"/>
      <c r="O77" s="182" t="s">
        <v>251</v>
      </c>
      <c r="P77" s="9"/>
      <c r="Q77" s="9"/>
      <c r="R77" s="125" t="s">
        <v>461</v>
      </c>
      <c r="S77" s="125" t="s">
        <v>461</v>
      </c>
      <c r="T77" s="237" t="s">
        <v>515</v>
      </c>
      <c r="U77" s="280" t="s">
        <v>506</v>
      </c>
      <c r="V77" s="237" t="s">
        <v>515</v>
      </c>
      <c r="W77" s="280" t="s">
        <v>506</v>
      </c>
    </row>
    <row r="78" spans="1:23" ht="312">
      <c r="A78" s="176">
        <v>77</v>
      </c>
      <c r="B78" s="74"/>
      <c r="C78" s="74"/>
      <c r="D78" s="86">
        <v>849</v>
      </c>
      <c r="E78" s="86" t="s">
        <v>111</v>
      </c>
      <c r="F78" s="75" t="s">
        <v>248</v>
      </c>
      <c r="G78" s="174" t="s">
        <v>384</v>
      </c>
      <c r="H78" s="87" t="s">
        <v>245</v>
      </c>
      <c r="I78" s="255" t="s">
        <v>523</v>
      </c>
      <c r="J78" s="2" t="s">
        <v>311</v>
      </c>
      <c r="K78" s="2" t="s">
        <v>555</v>
      </c>
      <c r="L78" s="2" t="s">
        <v>556</v>
      </c>
      <c r="M78" s="86" t="s">
        <v>17</v>
      </c>
      <c r="N78" s="193"/>
      <c r="O78" s="182" t="s">
        <v>251</v>
      </c>
      <c r="P78" s="9"/>
      <c r="Q78" s="9"/>
      <c r="R78" s="125" t="s">
        <v>462</v>
      </c>
      <c r="S78" s="125" t="s">
        <v>463</v>
      </c>
      <c r="T78" s="237" t="s">
        <v>516</v>
      </c>
      <c r="U78" s="237" t="s">
        <v>517</v>
      </c>
      <c r="V78" s="237" t="s">
        <v>516</v>
      </c>
      <c r="W78" s="237" t="s">
        <v>517</v>
      </c>
    </row>
    <row r="79" spans="1:23" ht="216">
      <c r="A79" s="176">
        <v>78</v>
      </c>
      <c r="B79" s="74"/>
      <c r="C79" s="74"/>
      <c r="D79" s="86">
        <v>850</v>
      </c>
      <c r="E79" s="86" t="s">
        <v>111</v>
      </c>
      <c r="F79" s="75" t="s">
        <v>211</v>
      </c>
      <c r="G79" s="59" t="s">
        <v>61</v>
      </c>
      <c r="H79" s="174" t="s">
        <v>400</v>
      </c>
      <c r="I79" s="140"/>
      <c r="J79" s="2" t="s">
        <v>261</v>
      </c>
      <c r="K79" s="140" t="s">
        <v>291</v>
      </c>
      <c r="L79" s="140" t="s">
        <v>291</v>
      </c>
      <c r="M79" s="86" t="s">
        <v>17</v>
      </c>
      <c r="N79" s="193"/>
      <c r="O79" s="182" t="s">
        <v>251</v>
      </c>
      <c r="P79" s="9"/>
      <c r="Q79" s="9"/>
      <c r="R79" s="140" t="s">
        <v>291</v>
      </c>
      <c r="S79" s="140" t="s">
        <v>291</v>
      </c>
      <c r="T79" s="140" t="s">
        <v>291</v>
      </c>
      <c r="U79" s="174"/>
      <c r="V79" s="140" t="s">
        <v>291</v>
      </c>
      <c r="W79" s="81"/>
    </row>
    <row r="80" spans="1:23">
      <c r="A80" s="176">
        <v>79</v>
      </c>
      <c r="B80" s="111"/>
      <c r="C80" s="111"/>
      <c r="D80" s="113">
        <v>851</v>
      </c>
      <c r="E80" s="113" t="s">
        <v>108</v>
      </c>
      <c r="F80" s="102"/>
      <c r="G80" s="139" t="s">
        <v>359</v>
      </c>
      <c r="H80" s="115" t="s">
        <v>371</v>
      </c>
      <c r="I80" s="168"/>
      <c r="J80" s="123"/>
      <c r="K80" s="168" t="s">
        <v>291</v>
      </c>
      <c r="L80" s="168" t="s">
        <v>291</v>
      </c>
      <c r="M80" s="157"/>
      <c r="N80" s="199"/>
      <c r="O80" s="184"/>
      <c r="P80" s="106"/>
      <c r="Q80" s="106"/>
      <c r="R80" s="168" t="s">
        <v>291</v>
      </c>
      <c r="S80" s="168" t="s">
        <v>291</v>
      </c>
      <c r="T80" s="168" t="s">
        <v>291</v>
      </c>
      <c r="U80" s="115"/>
      <c r="V80" s="168" t="s">
        <v>291</v>
      </c>
      <c r="W80" s="169"/>
    </row>
    <row r="81" spans="1:23" ht="126.75" customHeight="1">
      <c r="A81" s="176">
        <v>80</v>
      </c>
      <c r="B81" s="111"/>
      <c r="C81" s="111"/>
      <c r="D81" s="113">
        <v>852</v>
      </c>
      <c r="E81" s="113" t="s">
        <v>106</v>
      </c>
      <c r="F81" s="102"/>
      <c r="G81" s="115" t="s">
        <v>59</v>
      </c>
      <c r="H81" s="115" t="s">
        <v>372</v>
      </c>
      <c r="I81" s="105"/>
      <c r="J81" s="111"/>
      <c r="K81" s="168" t="s">
        <v>291</v>
      </c>
      <c r="L81" s="168" t="s">
        <v>291</v>
      </c>
      <c r="M81" s="185"/>
      <c r="N81" s="185"/>
      <c r="O81" s="185"/>
      <c r="P81" s="109"/>
      <c r="Q81" s="109"/>
      <c r="R81" s="168" t="s">
        <v>291</v>
      </c>
      <c r="S81" s="168" t="s">
        <v>291</v>
      </c>
      <c r="T81" s="169" t="s">
        <v>38</v>
      </c>
      <c r="U81" s="169"/>
      <c r="V81" s="169" t="s">
        <v>38</v>
      </c>
      <c r="W81" s="107"/>
    </row>
    <row r="82" spans="1:23" ht="158.25" customHeight="1">
      <c r="A82" s="176">
        <v>81</v>
      </c>
      <c r="B82" s="110"/>
      <c r="C82" s="110"/>
      <c r="D82" s="113">
        <v>857</v>
      </c>
      <c r="E82" s="113" t="s">
        <v>25</v>
      </c>
      <c r="F82" s="102"/>
      <c r="G82" s="115" t="s">
        <v>60</v>
      </c>
      <c r="H82" s="115" t="s">
        <v>372</v>
      </c>
      <c r="I82" s="158"/>
      <c r="J82" s="111"/>
      <c r="K82" s="168" t="s">
        <v>291</v>
      </c>
      <c r="L82" s="168" t="s">
        <v>291</v>
      </c>
      <c r="M82" s="171" t="s">
        <v>16</v>
      </c>
      <c r="N82" s="184"/>
      <c r="O82" s="185"/>
      <c r="P82" s="159"/>
      <c r="Q82" s="159"/>
      <c r="R82" s="168" t="s">
        <v>291</v>
      </c>
      <c r="S82" s="168" t="s">
        <v>291</v>
      </c>
      <c r="T82" s="169" t="s">
        <v>38</v>
      </c>
      <c r="U82" s="169"/>
      <c r="V82" s="169" t="s">
        <v>38</v>
      </c>
      <c r="W82" s="107"/>
    </row>
    <row r="83" spans="1:23" ht="158.25" customHeight="1">
      <c r="A83" s="176">
        <v>82</v>
      </c>
      <c r="B83" s="110"/>
      <c r="C83" s="110"/>
      <c r="D83" s="113">
        <v>869</v>
      </c>
      <c r="E83" s="113" t="s">
        <v>18</v>
      </c>
      <c r="F83" s="102"/>
      <c r="G83" s="139" t="s">
        <v>360</v>
      </c>
      <c r="H83" s="115" t="s">
        <v>371</v>
      </c>
      <c r="I83" s="158"/>
      <c r="J83" s="111"/>
      <c r="K83" s="166" t="s">
        <v>291</v>
      </c>
      <c r="L83" s="166" t="s">
        <v>291</v>
      </c>
      <c r="M83" s="171"/>
      <c r="N83" s="184"/>
      <c r="O83" s="185"/>
      <c r="P83" s="159"/>
      <c r="Q83" s="159"/>
      <c r="R83" s="166" t="s">
        <v>291</v>
      </c>
      <c r="S83" s="166" t="s">
        <v>291</v>
      </c>
      <c r="T83" s="166" t="s">
        <v>291</v>
      </c>
      <c r="U83" s="169"/>
      <c r="V83" s="166" t="s">
        <v>291</v>
      </c>
      <c r="W83" s="107"/>
    </row>
    <row r="84" spans="1:23" ht="168">
      <c r="A84" s="176">
        <v>83</v>
      </c>
      <c r="B84" s="42" t="s">
        <v>16</v>
      </c>
      <c r="C84" s="42"/>
      <c r="D84" s="86">
        <v>873</v>
      </c>
      <c r="E84" s="86">
        <v>9</v>
      </c>
      <c r="F84" s="90"/>
      <c r="G84" s="59" t="s">
        <v>44</v>
      </c>
      <c r="H84" s="59" t="s">
        <v>142</v>
      </c>
      <c r="I84" s="174"/>
      <c r="J84" s="99"/>
      <c r="K84" s="236" t="s">
        <v>276</v>
      </c>
      <c r="L84" s="236" t="s">
        <v>276</v>
      </c>
      <c r="M84" s="86" t="s">
        <v>14</v>
      </c>
      <c r="N84" s="193"/>
      <c r="O84" s="187" t="s">
        <v>251</v>
      </c>
      <c r="P84" s="9"/>
      <c r="Q84" s="9"/>
      <c r="R84" s="236" t="s">
        <v>276</v>
      </c>
      <c r="S84" s="236" t="s">
        <v>276</v>
      </c>
      <c r="T84" s="236" t="s">
        <v>276</v>
      </c>
      <c r="U84" s="174"/>
      <c r="V84" s="236" t="s">
        <v>276</v>
      </c>
      <c r="W84" s="47"/>
    </row>
    <row r="85" spans="1:23" ht="24">
      <c r="A85" s="176">
        <v>84</v>
      </c>
      <c r="B85" s="112"/>
      <c r="C85" s="112"/>
      <c r="D85" s="113">
        <v>874</v>
      </c>
      <c r="E85" s="113" t="s">
        <v>361</v>
      </c>
      <c r="F85" s="114"/>
      <c r="G85" s="115" t="s">
        <v>45</v>
      </c>
      <c r="H85" s="115" t="s">
        <v>118</v>
      </c>
      <c r="I85" s="115"/>
      <c r="J85" s="120"/>
      <c r="K85" s="164" t="s">
        <v>249</v>
      </c>
      <c r="L85" s="164" t="s">
        <v>249</v>
      </c>
      <c r="M85" s="171" t="s">
        <v>15</v>
      </c>
      <c r="N85" s="195"/>
      <c r="O85" s="188" t="s">
        <v>16</v>
      </c>
      <c r="P85" s="119"/>
      <c r="Q85" s="119"/>
      <c r="R85" s="164" t="s">
        <v>249</v>
      </c>
      <c r="S85" s="164" t="s">
        <v>249</v>
      </c>
      <c r="T85" s="164" t="s">
        <v>249</v>
      </c>
      <c r="U85" s="115"/>
      <c r="V85" s="164" t="s">
        <v>249</v>
      </c>
      <c r="W85" s="112"/>
    </row>
    <row r="86" spans="1:23" ht="130.5" customHeight="1">
      <c r="A86" s="176">
        <v>85</v>
      </c>
      <c r="B86" s="111"/>
      <c r="C86" s="111"/>
      <c r="D86" s="113">
        <v>879</v>
      </c>
      <c r="E86" s="113" t="s">
        <v>333</v>
      </c>
      <c r="F86" s="102"/>
      <c r="G86" s="115" t="s">
        <v>75</v>
      </c>
      <c r="H86" s="115" t="s">
        <v>121</v>
      </c>
      <c r="I86" s="168"/>
      <c r="J86" s="104"/>
      <c r="K86" s="168" t="s">
        <v>38</v>
      </c>
      <c r="L86" s="168" t="s">
        <v>38</v>
      </c>
      <c r="M86" s="171" t="s">
        <v>16</v>
      </c>
      <c r="N86" s="199"/>
      <c r="O86" s="184"/>
      <c r="P86" s="106"/>
      <c r="Q86" s="106"/>
      <c r="R86" s="168" t="s">
        <v>38</v>
      </c>
      <c r="S86" s="168" t="s">
        <v>38</v>
      </c>
      <c r="T86" s="168" t="s">
        <v>38</v>
      </c>
      <c r="U86" s="168"/>
      <c r="V86" s="168" t="s">
        <v>38</v>
      </c>
      <c r="W86" s="169"/>
    </row>
    <row r="87" spans="1:23" ht="77.25" customHeight="1">
      <c r="A87" s="176">
        <v>86</v>
      </c>
      <c r="B87" s="111"/>
      <c r="C87" s="111"/>
      <c r="D87" s="113">
        <v>888</v>
      </c>
      <c r="E87" s="113" t="s">
        <v>333</v>
      </c>
      <c r="F87" s="102"/>
      <c r="G87" s="115" t="s">
        <v>78</v>
      </c>
      <c r="H87" s="122" t="s">
        <v>375</v>
      </c>
      <c r="I87" s="168"/>
      <c r="J87" s="104"/>
      <c r="K87" s="168" t="s">
        <v>38</v>
      </c>
      <c r="L87" s="168" t="s">
        <v>38</v>
      </c>
      <c r="M87" s="171"/>
      <c r="N87" s="199"/>
      <c r="O87" s="184"/>
      <c r="P87" s="106"/>
      <c r="Q87" s="106"/>
      <c r="R87" s="168" t="s">
        <v>38</v>
      </c>
      <c r="S87" s="168" t="s">
        <v>38</v>
      </c>
      <c r="T87" s="168" t="s">
        <v>38</v>
      </c>
      <c r="U87" s="168"/>
      <c r="V87" s="168" t="s">
        <v>38</v>
      </c>
      <c r="W87" s="169"/>
    </row>
    <row r="88" spans="1:23" ht="76.5" customHeight="1">
      <c r="A88" s="176">
        <v>87</v>
      </c>
      <c r="B88" s="111"/>
      <c r="C88" s="111"/>
      <c r="D88" s="113">
        <v>897</v>
      </c>
      <c r="E88" s="113" t="s">
        <v>108</v>
      </c>
      <c r="F88" s="102"/>
      <c r="G88" s="115" t="s">
        <v>97</v>
      </c>
      <c r="H88" s="115" t="s">
        <v>121</v>
      </c>
      <c r="I88" s="168"/>
      <c r="J88" s="104"/>
      <c r="K88" s="170" t="s">
        <v>291</v>
      </c>
      <c r="L88" s="170" t="s">
        <v>291</v>
      </c>
      <c r="M88" s="171" t="s">
        <v>16</v>
      </c>
      <c r="N88" s="199"/>
      <c r="O88" s="184"/>
      <c r="P88" s="106"/>
      <c r="Q88" s="106"/>
      <c r="R88" s="170" t="s">
        <v>291</v>
      </c>
      <c r="S88" s="170" t="s">
        <v>291</v>
      </c>
      <c r="T88" s="170" t="s">
        <v>291</v>
      </c>
      <c r="U88" s="168"/>
      <c r="V88" s="170" t="s">
        <v>291</v>
      </c>
      <c r="W88" s="169"/>
    </row>
    <row r="89" spans="1:23" ht="156">
      <c r="A89" s="176">
        <v>88</v>
      </c>
      <c r="B89" s="42"/>
      <c r="C89" s="42"/>
      <c r="D89" s="86">
        <v>898</v>
      </c>
      <c r="E89" s="86" t="s">
        <v>107</v>
      </c>
      <c r="F89" s="89" t="s">
        <v>177</v>
      </c>
      <c r="G89" s="59" t="s">
        <v>176</v>
      </c>
      <c r="H89" s="59" t="s">
        <v>416</v>
      </c>
      <c r="I89" s="174" t="s">
        <v>417</v>
      </c>
      <c r="J89" s="100" t="s">
        <v>377</v>
      </c>
      <c r="K89" s="258" t="s">
        <v>464</v>
      </c>
      <c r="L89" s="258" t="s">
        <v>464</v>
      </c>
      <c r="M89" s="86" t="s">
        <v>17</v>
      </c>
      <c r="N89" s="193"/>
      <c r="O89" s="187" t="s">
        <v>251</v>
      </c>
      <c r="P89" s="9"/>
      <c r="Q89" s="9"/>
      <c r="R89" s="258" t="s">
        <v>464</v>
      </c>
      <c r="S89" s="258" t="s">
        <v>464</v>
      </c>
      <c r="T89" s="258" t="s">
        <v>464</v>
      </c>
      <c r="U89" s="275"/>
      <c r="V89" s="258" t="s">
        <v>464</v>
      </c>
      <c r="W89" s="47"/>
    </row>
    <row r="90" spans="1:23" ht="38.25" customHeight="1">
      <c r="A90" s="176">
        <v>89</v>
      </c>
      <c r="B90" s="74"/>
      <c r="C90" s="74"/>
      <c r="D90" s="86">
        <v>900</v>
      </c>
      <c r="E90" s="86" t="s">
        <v>108</v>
      </c>
      <c r="F90" s="75" t="s">
        <v>156</v>
      </c>
      <c r="G90" s="59" t="s">
        <v>155</v>
      </c>
      <c r="H90" s="87" t="s">
        <v>123</v>
      </c>
      <c r="I90" s="140"/>
      <c r="J90" s="76"/>
      <c r="K90" s="140" t="s">
        <v>291</v>
      </c>
      <c r="L90" s="140" t="s">
        <v>291</v>
      </c>
      <c r="M90" s="86"/>
      <c r="N90" s="193"/>
      <c r="O90" s="182" t="s">
        <v>251</v>
      </c>
      <c r="P90" s="9"/>
      <c r="Q90" s="9"/>
      <c r="R90" s="140" t="s">
        <v>291</v>
      </c>
      <c r="S90" s="140" t="s">
        <v>291</v>
      </c>
      <c r="T90" s="140" t="s">
        <v>291</v>
      </c>
      <c r="U90" s="140"/>
      <c r="V90" s="140" t="s">
        <v>291</v>
      </c>
      <c r="W90" s="81"/>
    </row>
    <row r="91" spans="1:23" ht="84">
      <c r="A91" s="176">
        <v>90</v>
      </c>
      <c r="B91" s="74"/>
      <c r="C91" s="74"/>
      <c r="D91" s="84">
        <v>901</v>
      </c>
      <c r="E91" s="161" t="s">
        <v>108</v>
      </c>
      <c r="F91" s="75" t="s">
        <v>316</v>
      </c>
      <c r="G91" s="141" t="s">
        <v>362</v>
      </c>
      <c r="H91" s="160" t="s">
        <v>376</v>
      </c>
      <c r="I91" s="140"/>
      <c r="J91" s="2"/>
      <c r="K91" s="255" t="s">
        <v>465</v>
      </c>
      <c r="L91" s="255" t="s">
        <v>465</v>
      </c>
      <c r="M91" s="182" t="s">
        <v>14</v>
      </c>
      <c r="N91" s="193"/>
      <c r="O91" s="182" t="s">
        <v>251</v>
      </c>
      <c r="P91" s="9"/>
      <c r="Q91" s="9"/>
      <c r="R91" s="255" t="s">
        <v>465</v>
      </c>
      <c r="S91" s="255" t="s">
        <v>465</v>
      </c>
      <c r="T91" s="255" t="s">
        <v>465</v>
      </c>
      <c r="U91" s="140"/>
      <c r="V91" s="255" t="s">
        <v>465</v>
      </c>
      <c r="W91" s="81"/>
    </row>
    <row r="92" spans="1:23" ht="84">
      <c r="A92" s="176">
        <v>91</v>
      </c>
      <c r="B92" s="74"/>
      <c r="C92" s="74"/>
      <c r="D92" s="84">
        <v>902</v>
      </c>
      <c r="E92" s="143" t="s">
        <v>112</v>
      </c>
      <c r="F92" s="75" t="s">
        <v>317</v>
      </c>
      <c r="G92" s="141" t="s">
        <v>393</v>
      </c>
      <c r="H92" s="141" t="s">
        <v>320</v>
      </c>
      <c r="I92" s="140"/>
      <c r="J92" s="2"/>
      <c r="K92" s="255" t="s">
        <v>466</v>
      </c>
      <c r="L92" s="255" t="s">
        <v>466</v>
      </c>
      <c r="M92" s="182" t="s">
        <v>14</v>
      </c>
      <c r="N92" s="193"/>
      <c r="O92" s="182" t="s">
        <v>251</v>
      </c>
      <c r="P92" s="9"/>
      <c r="Q92" s="9"/>
      <c r="R92" s="255" t="s">
        <v>466</v>
      </c>
      <c r="S92" s="255" t="s">
        <v>466</v>
      </c>
      <c r="T92" s="255" t="s">
        <v>466</v>
      </c>
      <c r="U92" s="140"/>
      <c r="V92" s="255" t="s">
        <v>466</v>
      </c>
      <c r="W92" s="81"/>
    </row>
    <row r="93" spans="1:23" ht="60">
      <c r="A93" s="176">
        <v>92</v>
      </c>
      <c r="B93" s="74"/>
      <c r="C93" s="74"/>
      <c r="D93" s="84">
        <v>905</v>
      </c>
      <c r="E93" s="143" t="s">
        <v>315</v>
      </c>
      <c r="F93" s="75" t="s">
        <v>318</v>
      </c>
      <c r="G93" s="141" t="s">
        <v>394</v>
      </c>
      <c r="H93" s="141" t="s">
        <v>321</v>
      </c>
      <c r="J93" s="79" t="s">
        <v>324</v>
      </c>
      <c r="K93" s="255" t="s">
        <v>291</v>
      </c>
      <c r="L93" s="255" t="s">
        <v>291</v>
      </c>
      <c r="M93" s="182" t="s">
        <v>17</v>
      </c>
      <c r="N93" s="193"/>
      <c r="O93" s="182" t="s">
        <v>251</v>
      </c>
      <c r="P93" s="9"/>
      <c r="Q93" s="9"/>
      <c r="R93" s="255" t="s">
        <v>291</v>
      </c>
      <c r="S93" s="255" t="s">
        <v>291</v>
      </c>
      <c r="T93" s="255" t="s">
        <v>291</v>
      </c>
      <c r="U93" s="140"/>
      <c r="V93" s="255" t="s">
        <v>291</v>
      </c>
      <c r="W93" s="81"/>
    </row>
    <row r="94" spans="1:23" ht="60">
      <c r="A94" s="176">
        <v>93</v>
      </c>
      <c r="B94" s="74"/>
      <c r="C94" s="74"/>
      <c r="D94" s="84">
        <v>921</v>
      </c>
      <c r="E94" s="143" t="s">
        <v>109</v>
      </c>
      <c r="F94" s="75" t="s">
        <v>319</v>
      </c>
      <c r="G94" s="140" t="s">
        <v>395</v>
      </c>
      <c r="H94" s="141" t="s">
        <v>322</v>
      </c>
      <c r="I94" s="140"/>
      <c r="J94" s="76"/>
      <c r="K94" s="255" t="s">
        <v>291</v>
      </c>
      <c r="L94" s="255" t="s">
        <v>291</v>
      </c>
      <c r="M94" s="182" t="s">
        <v>17</v>
      </c>
      <c r="N94" s="194"/>
      <c r="O94" s="182" t="s">
        <v>251</v>
      </c>
      <c r="P94" s="142"/>
      <c r="Q94" s="142"/>
      <c r="R94" s="255" t="s">
        <v>291</v>
      </c>
      <c r="S94" s="255" t="s">
        <v>291</v>
      </c>
      <c r="T94" s="255" t="s">
        <v>291</v>
      </c>
      <c r="U94" s="141"/>
      <c r="V94" s="255" t="s">
        <v>291</v>
      </c>
      <c r="W94" s="141"/>
    </row>
    <row r="95" spans="1:23" ht="108">
      <c r="A95" s="176">
        <v>94</v>
      </c>
      <c r="B95" s="47"/>
      <c r="C95" s="47"/>
      <c r="D95" s="86">
        <v>945</v>
      </c>
      <c r="E95" s="86" t="s">
        <v>108</v>
      </c>
      <c r="F95" s="89"/>
      <c r="G95" s="59" t="s">
        <v>48</v>
      </c>
      <c r="H95" s="91" t="s">
        <v>185</v>
      </c>
      <c r="I95" s="174"/>
      <c r="J95" s="100" t="s">
        <v>184</v>
      </c>
      <c r="K95" s="234" t="s">
        <v>38</v>
      </c>
      <c r="L95" s="234" t="s">
        <v>38</v>
      </c>
      <c r="M95" s="86" t="s">
        <v>17</v>
      </c>
      <c r="N95" s="194"/>
      <c r="O95" s="187" t="s">
        <v>251</v>
      </c>
      <c r="P95" s="10"/>
      <c r="Q95" s="10"/>
      <c r="R95" s="234" t="s">
        <v>38</v>
      </c>
      <c r="S95" s="234" t="s">
        <v>38</v>
      </c>
      <c r="T95" s="234" t="s">
        <v>38</v>
      </c>
      <c r="U95" s="174"/>
      <c r="V95" s="234" t="s">
        <v>38</v>
      </c>
      <c r="W95" s="47"/>
    </row>
    <row r="96" spans="1:23" ht="36">
      <c r="A96" s="176">
        <v>95</v>
      </c>
      <c r="B96" s="112"/>
      <c r="C96" s="112"/>
      <c r="D96" s="113">
        <v>946</v>
      </c>
      <c r="E96" s="113" t="s">
        <v>363</v>
      </c>
      <c r="F96" s="114" t="s">
        <v>364</v>
      </c>
      <c r="G96" s="115" t="s">
        <v>365</v>
      </c>
      <c r="H96" s="122" t="s">
        <v>366</v>
      </c>
      <c r="I96" s="115"/>
      <c r="J96" s="116"/>
      <c r="K96" s="164" t="s">
        <v>249</v>
      </c>
      <c r="L96" s="164" t="s">
        <v>249</v>
      </c>
      <c r="M96" s="171" t="s">
        <v>15</v>
      </c>
      <c r="N96" s="195"/>
      <c r="O96" s="188"/>
      <c r="P96" s="119"/>
      <c r="Q96" s="119"/>
      <c r="R96" s="164" t="s">
        <v>249</v>
      </c>
      <c r="S96" s="164" t="s">
        <v>249</v>
      </c>
      <c r="T96" s="164" t="s">
        <v>249</v>
      </c>
      <c r="U96" s="115"/>
      <c r="V96" s="164" t="s">
        <v>249</v>
      </c>
      <c r="W96" s="112"/>
    </row>
    <row r="97" spans="1:25" ht="91.5" customHeight="1">
      <c r="A97" s="176">
        <v>96</v>
      </c>
      <c r="B97" s="111"/>
      <c r="C97" s="111"/>
      <c r="D97" s="113">
        <v>955</v>
      </c>
      <c r="E97" s="113" t="s">
        <v>108</v>
      </c>
      <c r="F97" s="102" t="s">
        <v>216</v>
      </c>
      <c r="G97" s="115" t="s">
        <v>100</v>
      </c>
      <c r="H97" s="115" t="s">
        <v>312</v>
      </c>
      <c r="I97" s="168"/>
      <c r="J97" s="123" t="s">
        <v>253</v>
      </c>
      <c r="K97" s="170" t="s">
        <v>38</v>
      </c>
      <c r="L97" s="170" t="s">
        <v>38</v>
      </c>
      <c r="M97" s="171"/>
      <c r="N97" s="199"/>
      <c r="O97" s="184" t="s">
        <v>251</v>
      </c>
      <c r="P97" s="106"/>
      <c r="Q97" s="106"/>
      <c r="R97" s="170" t="s">
        <v>38</v>
      </c>
      <c r="S97" s="170" t="s">
        <v>38</v>
      </c>
      <c r="T97" s="170" t="s">
        <v>38</v>
      </c>
      <c r="U97" s="168"/>
      <c r="V97" s="170" t="s">
        <v>38</v>
      </c>
      <c r="W97" s="169"/>
    </row>
    <row r="98" spans="1:25" ht="132">
      <c r="A98" s="176">
        <v>97</v>
      </c>
      <c r="B98" s="112"/>
      <c r="C98" s="112"/>
      <c r="D98" s="113">
        <v>956</v>
      </c>
      <c r="E98" s="113" t="s">
        <v>337</v>
      </c>
      <c r="F98" s="114"/>
      <c r="G98" s="115" t="s">
        <v>392</v>
      </c>
      <c r="H98" s="115" t="s">
        <v>259</v>
      </c>
      <c r="I98" s="115"/>
      <c r="J98" s="116" t="s">
        <v>253</v>
      </c>
      <c r="K98" s="164" t="s">
        <v>38</v>
      </c>
      <c r="L98" s="164" t="s">
        <v>38</v>
      </c>
      <c r="M98" s="171" t="s">
        <v>17</v>
      </c>
      <c r="N98" s="195"/>
      <c r="O98" s="188"/>
      <c r="P98" s="119"/>
      <c r="Q98" s="119"/>
      <c r="R98" s="164" t="s">
        <v>38</v>
      </c>
      <c r="S98" s="164" t="s">
        <v>38</v>
      </c>
      <c r="T98" s="164" t="s">
        <v>38</v>
      </c>
      <c r="U98" s="115"/>
      <c r="V98" s="164" t="s">
        <v>38</v>
      </c>
      <c r="W98" s="115"/>
    </row>
    <row r="99" spans="1:25" ht="36">
      <c r="A99" s="176">
        <v>98</v>
      </c>
      <c r="B99" s="217"/>
      <c r="C99" s="217"/>
      <c r="D99" s="218">
        <v>959</v>
      </c>
      <c r="E99" s="218" t="s">
        <v>108</v>
      </c>
      <c r="F99" s="219"/>
      <c r="G99" s="155" t="s">
        <v>407</v>
      </c>
      <c r="H99" s="155"/>
      <c r="I99" s="155"/>
      <c r="J99" s="220" t="s">
        <v>408</v>
      </c>
      <c r="K99" s="221"/>
      <c r="L99" s="221"/>
      <c r="M99" s="218" t="s">
        <v>17</v>
      </c>
      <c r="N99" s="222"/>
      <c r="O99" s="223" t="s">
        <v>251</v>
      </c>
      <c r="P99" s="224"/>
      <c r="Q99" s="224"/>
      <c r="R99" s="221"/>
      <c r="S99" s="221"/>
      <c r="T99" s="221"/>
      <c r="U99" s="226"/>
      <c r="V99" s="155"/>
      <c r="W99" s="221"/>
    </row>
    <row r="100" spans="1:25" s="53" customFormat="1" ht="36">
      <c r="A100" s="176">
        <v>99</v>
      </c>
      <c r="B100" s="217"/>
      <c r="C100" s="217"/>
      <c r="D100" s="218">
        <v>960</v>
      </c>
      <c r="E100" s="218" t="s">
        <v>108</v>
      </c>
      <c r="F100" s="219"/>
      <c r="G100" s="155" t="s">
        <v>403</v>
      </c>
      <c r="H100" s="155"/>
      <c r="I100" s="155"/>
      <c r="J100" s="220" t="s">
        <v>404</v>
      </c>
      <c r="K100" s="221"/>
      <c r="L100" s="221"/>
      <c r="M100" s="218" t="s">
        <v>17</v>
      </c>
      <c r="N100" s="222"/>
      <c r="O100" s="223" t="s">
        <v>251</v>
      </c>
      <c r="P100" s="224"/>
      <c r="Q100" s="224"/>
      <c r="R100" s="224"/>
      <c r="S100" s="225"/>
      <c r="T100" s="221"/>
      <c r="U100" s="226"/>
      <c r="V100" s="155"/>
      <c r="W100" s="221"/>
      <c r="X100" s="85"/>
      <c r="Y100" s="85"/>
    </row>
    <row r="101" spans="1:25" s="53" customFormat="1" ht="24">
      <c r="A101" s="176">
        <v>100</v>
      </c>
      <c r="B101" s="169"/>
      <c r="C101" s="169"/>
      <c r="D101" s="171">
        <v>961</v>
      </c>
      <c r="E101" s="171" t="s">
        <v>405</v>
      </c>
      <c r="F101" s="102"/>
      <c r="G101" s="103" t="s">
        <v>406</v>
      </c>
      <c r="H101" s="103" t="s">
        <v>121</v>
      </c>
      <c r="I101" s="168"/>
      <c r="J101" s="104"/>
      <c r="K101" s="104"/>
      <c r="L101" s="130"/>
      <c r="M101" s="171" t="s">
        <v>17</v>
      </c>
      <c r="N101" s="130"/>
      <c r="O101" s="184" t="s">
        <v>251</v>
      </c>
      <c r="P101" s="131"/>
      <c r="Q101" s="131"/>
      <c r="R101" s="131"/>
      <c r="S101" s="107"/>
      <c r="T101" s="168"/>
      <c r="U101" s="117"/>
      <c r="V101" s="117"/>
      <c r="W101" s="168"/>
      <c r="X101" s="85"/>
      <c r="Y101" s="85"/>
    </row>
    <row r="102" spans="1:25" s="53" customFormat="1">
      <c r="A102" s="27"/>
      <c r="B102" s="25"/>
      <c r="C102" s="25"/>
      <c r="D102" s="177"/>
      <c r="E102" s="177"/>
      <c r="F102" s="178"/>
      <c r="G102" s="28"/>
      <c r="H102" s="28"/>
      <c r="I102" s="286"/>
      <c r="J102" s="23"/>
      <c r="K102" s="272"/>
      <c r="L102" s="273"/>
      <c r="M102" s="177"/>
      <c r="N102" s="204"/>
      <c r="O102" s="177"/>
      <c r="P102" s="26"/>
      <c r="Q102" s="26"/>
      <c r="R102" s="26"/>
      <c r="S102" s="27"/>
      <c r="T102" s="22"/>
      <c r="U102" s="22"/>
      <c r="V102" s="22"/>
      <c r="W102" s="29"/>
      <c r="X102" s="85"/>
      <c r="Y102" s="85"/>
    </row>
    <row r="103" spans="1:25" s="53" customFormat="1">
      <c r="A103" s="27"/>
      <c r="B103" s="29"/>
      <c r="C103" s="29"/>
      <c r="D103" s="177"/>
      <c r="E103" s="177"/>
      <c r="F103" s="178"/>
      <c r="G103" s="22"/>
      <c r="H103" s="28"/>
      <c r="I103" s="286"/>
      <c r="J103" s="23"/>
      <c r="K103" s="272"/>
      <c r="L103" s="24"/>
      <c r="M103" s="177"/>
      <c r="N103" s="206"/>
      <c r="O103" s="177"/>
      <c r="P103" s="26"/>
      <c r="Q103" s="26"/>
      <c r="R103" s="26"/>
      <c r="S103" s="27"/>
      <c r="T103" s="30"/>
      <c r="U103" s="22"/>
      <c r="V103" s="28"/>
      <c r="W103" s="29"/>
      <c r="X103" s="85"/>
      <c r="Y103" s="85"/>
    </row>
    <row r="104" spans="1:25" s="53" customFormat="1">
      <c r="A104" s="27"/>
      <c r="B104" s="29"/>
      <c r="C104" s="29"/>
      <c r="D104" s="177"/>
      <c r="E104" s="177"/>
      <c r="F104" s="178"/>
      <c r="G104" s="22"/>
      <c r="H104" s="28"/>
      <c r="I104" s="286"/>
      <c r="J104" s="23"/>
      <c r="K104" s="272"/>
      <c r="L104" s="24"/>
      <c r="M104" s="177"/>
      <c r="N104" s="206"/>
      <c r="O104" s="177"/>
      <c r="P104" s="26"/>
      <c r="Q104" s="26"/>
      <c r="R104" s="26"/>
      <c r="S104" s="27"/>
      <c r="T104" s="30"/>
      <c r="U104" s="22"/>
      <c r="V104" s="28"/>
      <c r="W104" s="22"/>
      <c r="X104" s="85"/>
      <c r="Y104" s="85"/>
    </row>
    <row r="105" spans="1:25" s="53" customFormat="1">
      <c r="A105" s="27"/>
      <c r="B105" s="25"/>
      <c r="C105" s="25"/>
      <c r="D105" s="177"/>
      <c r="E105" s="180"/>
      <c r="F105" s="178"/>
      <c r="G105" s="28"/>
      <c r="H105" s="28"/>
      <c r="I105" s="286"/>
      <c r="J105" s="23"/>
      <c r="K105" s="272"/>
      <c r="L105" s="273"/>
      <c r="M105" s="177"/>
      <c r="N105" s="204"/>
      <c r="O105" s="177"/>
      <c r="P105" s="26"/>
      <c r="Q105" s="26"/>
      <c r="R105" s="26"/>
      <c r="S105" s="27"/>
      <c r="T105" s="22"/>
      <c r="U105" s="22"/>
      <c r="V105" s="22"/>
      <c r="W105" s="29"/>
      <c r="X105" s="85"/>
      <c r="Y105" s="85"/>
    </row>
    <row r="106" spans="1:25" s="53" customFormat="1">
      <c r="A106" s="27"/>
      <c r="B106" s="25"/>
      <c r="C106" s="25"/>
      <c r="D106" s="177"/>
      <c r="E106" s="177"/>
      <c r="F106" s="178"/>
      <c r="G106" s="28"/>
      <c r="H106" s="28"/>
      <c r="I106" s="286"/>
      <c r="J106" s="23"/>
      <c r="K106" s="272"/>
      <c r="L106" s="273"/>
      <c r="M106" s="177"/>
      <c r="N106" s="204"/>
      <c r="O106" s="177"/>
      <c r="P106" s="26"/>
      <c r="Q106" s="26"/>
      <c r="R106" s="26"/>
      <c r="S106" s="27"/>
      <c r="T106" s="22"/>
      <c r="U106" s="22"/>
      <c r="V106" s="22"/>
      <c r="W106" s="29"/>
      <c r="X106" s="85"/>
      <c r="Y106" s="85"/>
    </row>
    <row r="107" spans="1:25" s="53" customFormat="1">
      <c r="A107" s="27"/>
      <c r="B107" s="25"/>
      <c r="C107" s="25"/>
      <c r="D107" s="177"/>
      <c r="E107" s="177"/>
      <c r="F107" s="178"/>
      <c r="G107" s="28"/>
      <c r="H107" s="28"/>
      <c r="I107" s="286"/>
      <c r="J107" s="23"/>
      <c r="K107" s="272"/>
      <c r="L107" s="273"/>
      <c r="M107" s="177"/>
      <c r="N107" s="204"/>
      <c r="O107" s="177"/>
      <c r="P107" s="26"/>
      <c r="Q107" s="26"/>
      <c r="R107" s="26"/>
      <c r="S107" s="27"/>
      <c r="T107" s="22"/>
      <c r="U107" s="22"/>
      <c r="V107" s="22"/>
      <c r="W107" s="29"/>
      <c r="X107" s="85"/>
      <c r="Y107" s="85"/>
    </row>
    <row r="108" spans="1:25" s="53" customFormat="1">
      <c r="A108" s="27"/>
      <c r="B108" s="25"/>
      <c r="C108" s="25"/>
      <c r="D108" s="177"/>
      <c r="E108" s="177"/>
      <c r="F108" s="178"/>
      <c r="G108" s="28"/>
      <c r="H108" s="28"/>
      <c r="I108" s="286"/>
      <c r="J108" s="23"/>
      <c r="K108" s="272"/>
      <c r="L108" s="273"/>
      <c r="M108" s="177"/>
      <c r="N108" s="204"/>
      <c r="O108" s="177"/>
      <c r="P108" s="26"/>
      <c r="Q108" s="26"/>
      <c r="R108" s="26"/>
      <c r="S108" s="27"/>
      <c r="T108" s="22"/>
      <c r="U108" s="22"/>
      <c r="V108" s="22"/>
      <c r="W108" s="29"/>
      <c r="X108" s="179"/>
      <c r="Y108" s="179"/>
    </row>
    <row r="109" spans="1:25" s="53" customFormat="1">
      <c r="A109" s="27"/>
      <c r="B109" s="25"/>
      <c r="C109" s="25"/>
      <c r="D109" s="177"/>
      <c r="E109" s="177"/>
      <c r="F109" s="178"/>
      <c r="G109" s="28"/>
      <c r="H109" s="28"/>
      <c r="I109" s="286"/>
      <c r="J109" s="23"/>
      <c r="K109" s="272"/>
      <c r="L109" s="273"/>
      <c r="M109" s="177"/>
      <c r="N109" s="204"/>
      <c r="O109" s="177"/>
      <c r="P109" s="26"/>
      <c r="Q109" s="26"/>
      <c r="R109" s="26"/>
      <c r="S109" s="27"/>
      <c r="T109" s="22"/>
      <c r="U109" s="22"/>
      <c r="V109" s="22"/>
      <c r="W109" s="29"/>
      <c r="X109" s="179"/>
      <c r="Y109" s="179"/>
    </row>
    <row r="110" spans="1:25" s="53" customFormat="1">
      <c r="A110" s="27"/>
      <c r="B110" s="25"/>
      <c r="C110" s="25"/>
      <c r="D110" s="177"/>
      <c r="E110" s="177"/>
      <c r="F110" s="178"/>
      <c r="G110" s="28"/>
      <c r="H110" s="28"/>
      <c r="I110" s="286"/>
      <c r="J110" s="23"/>
      <c r="K110" s="272"/>
      <c r="L110" s="273"/>
      <c r="M110" s="177"/>
      <c r="N110" s="204"/>
      <c r="O110" s="177"/>
      <c r="P110" s="26"/>
      <c r="Q110" s="26"/>
      <c r="R110" s="26"/>
      <c r="S110" s="27"/>
      <c r="T110" s="22"/>
      <c r="U110" s="22"/>
      <c r="V110" s="22"/>
      <c r="W110" s="29"/>
      <c r="X110" s="179"/>
      <c r="Y110" s="179"/>
    </row>
    <row r="111" spans="1:25" s="53" customFormat="1">
      <c r="A111" s="27"/>
      <c r="B111" s="25"/>
      <c r="C111" s="25"/>
      <c r="D111" s="177"/>
      <c r="E111" s="177"/>
      <c r="F111" s="178"/>
      <c r="G111" s="28"/>
      <c r="H111" s="28"/>
      <c r="I111" s="286"/>
      <c r="J111" s="23"/>
      <c r="K111" s="272"/>
      <c r="L111" s="273"/>
      <c r="M111" s="177"/>
      <c r="N111" s="204"/>
      <c r="O111" s="177"/>
      <c r="P111" s="26"/>
      <c r="Q111" s="26"/>
      <c r="R111" s="26"/>
      <c r="S111" s="27"/>
      <c r="T111" s="22"/>
      <c r="U111" s="22"/>
      <c r="V111" s="22"/>
      <c r="W111" s="29"/>
      <c r="X111" s="179"/>
      <c r="Y111" s="179"/>
    </row>
    <row r="112" spans="1:25" s="53" customFormat="1">
      <c r="A112" s="27"/>
      <c r="B112" s="25"/>
      <c r="C112" s="25"/>
      <c r="D112" s="177"/>
      <c r="E112" s="180"/>
      <c r="F112" s="178"/>
      <c r="G112" s="28"/>
      <c r="H112" s="28"/>
      <c r="I112" s="286"/>
      <c r="J112" s="23"/>
      <c r="K112" s="272"/>
      <c r="L112" s="273"/>
      <c r="M112" s="177"/>
      <c r="N112" s="204"/>
      <c r="O112" s="177"/>
      <c r="P112" s="26"/>
      <c r="Q112" s="26"/>
      <c r="R112" s="26"/>
      <c r="S112" s="27"/>
      <c r="T112" s="22"/>
      <c r="U112" s="22"/>
      <c r="V112" s="22"/>
      <c r="W112" s="29"/>
      <c r="X112" s="179"/>
      <c r="Y112" s="179"/>
    </row>
    <row r="113" spans="1:25" s="53" customFormat="1">
      <c r="A113" s="27"/>
      <c r="B113" s="25"/>
      <c r="C113" s="25"/>
      <c r="D113" s="177"/>
      <c r="E113" s="177"/>
      <c r="F113" s="178"/>
      <c r="G113" s="28"/>
      <c r="H113" s="28"/>
      <c r="I113" s="286"/>
      <c r="J113" s="23"/>
      <c r="K113" s="272"/>
      <c r="L113" s="273"/>
      <c r="M113" s="177"/>
      <c r="N113" s="204"/>
      <c r="O113" s="177"/>
      <c r="P113" s="26"/>
      <c r="Q113" s="26"/>
      <c r="R113" s="26"/>
      <c r="S113" s="27"/>
      <c r="T113" s="22"/>
      <c r="U113" s="22"/>
      <c r="V113" s="22"/>
      <c r="W113" s="29"/>
      <c r="X113" s="179"/>
      <c r="Y113" s="179"/>
    </row>
    <row r="114" spans="1:25" s="53" customFormat="1">
      <c r="A114" s="27"/>
      <c r="B114" s="25"/>
      <c r="C114" s="25"/>
      <c r="D114" s="177"/>
      <c r="E114" s="180"/>
      <c r="F114" s="178"/>
      <c r="G114" s="28"/>
      <c r="H114" s="28"/>
      <c r="I114" s="286"/>
      <c r="J114" s="23"/>
      <c r="K114" s="272"/>
      <c r="L114" s="273"/>
      <c r="M114" s="177"/>
      <c r="N114" s="204"/>
      <c r="O114" s="177"/>
      <c r="P114" s="26"/>
      <c r="Q114" s="26"/>
      <c r="R114" s="26"/>
      <c r="S114" s="27"/>
      <c r="T114" s="22"/>
      <c r="U114" s="22"/>
      <c r="V114" s="22"/>
      <c r="W114" s="29"/>
      <c r="X114" s="179"/>
      <c r="Y114" s="179"/>
    </row>
    <row r="115" spans="1:25" s="53" customFormat="1">
      <c r="A115" s="27"/>
      <c r="B115" s="25"/>
      <c r="C115" s="25"/>
      <c r="D115" s="177"/>
      <c r="E115" s="177"/>
      <c r="F115" s="178"/>
      <c r="G115" s="28"/>
      <c r="H115" s="28"/>
      <c r="I115" s="286"/>
      <c r="J115" s="23"/>
      <c r="K115" s="272"/>
      <c r="L115" s="273"/>
      <c r="M115" s="177"/>
      <c r="N115" s="204"/>
      <c r="O115" s="177"/>
      <c r="P115" s="26"/>
      <c r="Q115" s="26"/>
      <c r="R115" s="26"/>
      <c r="S115" s="27"/>
      <c r="T115" s="22"/>
      <c r="U115" s="22"/>
      <c r="V115" s="22"/>
      <c r="W115" s="29"/>
      <c r="X115" s="179"/>
      <c r="Y115" s="179"/>
    </row>
    <row r="116" spans="1:25" s="53" customFormat="1">
      <c r="A116" s="27"/>
      <c r="B116" s="25"/>
      <c r="C116" s="25"/>
      <c r="D116" s="177"/>
      <c r="E116" s="177"/>
      <c r="F116" s="178"/>
      <c r="G116" s="28"/>
      <c r="H116" s="28"/>
      <c r="I116" s="286"/>
      <c r="J116" s="23"/>
      <c r="K116" s="272"/>
      <c r="L116" s="273"/>
      <c r="M116" s="177"/>
      <c r="N116" s="204"/>
      <c r="O116" s="177"/>
      <c r="P116" s="26"/>
      <c r="Q116" s="26"/>
      <c r="R116" s="26"/>
      <c r="S116" s="27"/>
      <c r="T116" s="22"/>
      <c r="U116" s="22"/>
      <c r="V116" s="22"/>
      <c r="W116" s="29"/>
      <c r="X116" s="179"/>
      <c r="Y116" s="179"/>
    </row>
    <row r="117" spans="1:25" s="53" customFormat="1">
      <c r="A117" s="27"/>
      <c r="B117" s="25"/>
      <c r="C117" s="25"/>
      <c r="D117" s="177"/>
      <c r="E117" s="177"/>
      <c r="F117" s="178"/>
      <c r="G117" s="28"/>
      <c r="H117" s="28"/>
      <c r="I117" s="286"/>
      <c r="J117" s="23"/>
      <c r="K117" s="272"/>
      <c r="L117" s="273"/>
      <c r="M117" s="177"/>
      <c r="N117" s="204"/>
      <c r="O117" s="177"/>
      <c r="P117" s="26"/>
      <c r="Q117" s="26"/>
      <c r="R117" s="26"/>
      <c r="S117" s="27"/>
      <c r="T117" s="22"/>
      <c r="U117" s="22"/>
      <c r="V117" s="22"/>
      <c r="W117" s="29"/>
      <c r="X117" s="179"/>
      <c r="Y117" s="179"/>
    </row>
    <row r="118" spans="1:25" s="53" customFormat="1">
      <c r="A118" s="27"/>
      <c r="B118" s="25"/>
      <c r="C118" s="25"/>
      <c r="D118" s="177"/>
      <c r="E118" s="180"/>
      <c r="F118" s="178"/>
      <c r="G118" s="28"/>
      <c r="H118" s="28"/>
      <c r="I118" s="286"/>
      <c r="J118" s="23"/>
      <c r="K118" s="272"/>
      <c r="L118" s="273"/>
      <c r="M118" s="177"/>
      <c r="N118" s="204"/>
      <c r="O118" s="177"/>
      <c r="P118" s="26"/>
      <c r="Q118" s="26"/>
      <c r="R118" s="26"/>
      <c r="S118" s="27"/>
      <c r="T118" s="22"/>
      <c r="U118" s="22"/>
      <c r="V118" s="22"/>
      <c r="W118" s="29"/>
      <c r="X118" s="179"/>
      <c r="Y118" s="179"/>
    </row>
    <row r="119" spans="1:25" s="53" customFormat="1">
      <c r="A119" s="27"/>
      <c r="B119" s="25"/>
      <c r="C119" s="25"/>
      <c r="D119" s="177"/>
      <c r="E119" s="177"/>
      <c r="F119" s="178"/>
      <c r="G119" s="28"/>
      <c r="H119" s="28"/>
      <c r="I119" s="286"/>
      <c r="J119" s="23"/>
      <c r="K119" s="272"/>
      <c r="L119" s="273"/>
      <c r="M119" s="177"/>
      <c r="N119" s="204"/>
      <c r="O119" s="177"/>
      <c r="P119" s="26"/>
      <c r="Q119" s="26"/>
      <c r="R119" s="26"/>
      <c r="S119" s="27"/>
      <c r="T119" s="22"/>
      <c r="U119" s="22"/>
      <c r="V119" s="22"/>
      <c r="W119" s="29"/>
      <c r="X119" s="179"/>
      <c r="Y119" s="179"/>
    </row>
    <row r="120" spans="1:25" s="53" customFormat="1">
      <c r="A120" s="27"/>
      <c r="B120" s="25"/>
      <c r="C120" s="25"/>
      <c r="D120" s="177"/>
      <c r="E120" s="180"/>
      <c r="F120" s="178"/>
      <c r="G120" s="28"/>
      <c r="H120" s="28"/>
      <c r="I120" s="286"/>
      <c r="J120" s="23"/>
      <c r="K120" s="272"/>
      <c r="L120" s="273"/>
      <c r="M120" s="177"/>
      <c r="N120" s="204"/>
      <c r="O120" s="177"/>
      <c r="P120" s="26"/>
      <c r="Q120" s="26"/>
      <c r="R120" s="26"/>
      <c r="S120" s="27"/>
      <c r="T120" s="22"/>
      <c r="U120" s="22"/>
      <c r="V120" s="22"/>
      <c r="W120" s="29"/>
      <c r="X120" s="179"/>
      <c r="Y120" s="179"/>
    </row>
    <row r="121" spans="1:25" s="53" customFormat="1">
      <c r="A121" s="27"/>
      <c r="B121" s="25"/>
      <c r="C121" s="25"/>
      <c r="D121" s="177"/>
      <c r="E121" s="180"/>
      <c r="F121" s="178"/>
      <c r="G121" s="28"/>
      <c r="H121" s="28"/>
      <c r="I121" s="286"/>
      <c r="J121" s="23"/>
      <c r="K121" s="272"/>
      <c r="L121" s="273"/>
      <c r="M121" s="177"/>
      <c r="N121" s="204"/>
      <c r="O121" s="177"/>
      <c r="P121" s="26"/>
      <c r="Q121" s="26"/>
      <c r="R121" s="26"/>
      <c r="S121" s="27"/>
      <c r="T121" s="22"/>
      <c r="U121" s="22"/>
      <c r="V121" s="22"/>
      <c r="W121" s="29"/>
      <c r="X121" s="179"/>
      <c r="Y121" s="179"/>
    </row>
    <row r="122" spans="1:25" s="53" customFormat="1">
      <c r="A122" s="27"/>
      <c r="B122" s="25"/>
      <c r="C122" s="25"/>
      <c r="D122" s="177"/>
      <c r="E122" s="177"/>
      <c r="F122" s="178"/>
      <c r="G122" s="28"/>
      <c r="H122" s="28"/>
      <c r="I122" s="286"/>
      <c r="J122" s="23"/>
      <c r="K122" s="272"/>
      <c r="L122" s="273"/>
      <c r="M122" s="177"/>
      <c r="N122" s="204"/>
      <c r="O122" s="177"/>
      <c r="P122" s="26"/>
      <c r="Q122" s="26"/>
      <c r="R122" s="26"/>
      <c r="S122" s="27"/>
      <c r="T122" s="22"/>
      <c r="U122" s="22"/>
      <c r="V122" s="22"/>
      <c r="W122" s="29"/>
      <c r="X122" s="179"/>
      <c r="Y122" s="179"/>
    </row>
    <row r="123" spans="1:25" s="53" customFormat="1">
      <c r="A123" s="27"/>
      <c r="B123" s="25"/>
      <c r="C123" s="25"/>
      <c r="D123" s="177"/>
      <c r="E123" s="180"/>
      <c r="F123" s="178"/>
      <c r="G123" s="28"/>
      <c r="H123" s="28"/>
      <c r="I123" s="286"/>
      <c r="J123" s="23"/>
      <c r="K123" s="272"/>
      <c r="L123" s="273"/>
      <c r="M123" s="177"/>
      <c r="N123" s="204"/>
      <c r="O123" s="177"/>
      <c r="P123" s="26"/>
      <c r="Q123" s="26"/>
      <c r="R123" s="26"/>
      <c r="S123" s="27"/>
      <c r="T123" s="22"/>
      <c r="U123" s="22"/>
      <c r="V123" s="22"/>
      <c r="W123" s="29"/>
      <c r="X123" s="179"/>
      <c r="Y123" s="179"/>
    </row>
    <row r="124" spans="1:25" s="53" customFormat="1">
      <c r="A124" s="27"/>
      <c r="B124" s="25"/>
      <c r="C124" s="25"/>
      <c r="D124" s="177"/>
      <c r="E124" s="177"/>
      <c r="F124" s="178"/>
      <c r="G124" s="28"/>
      <c r="H124" s="28"/>
      <c r="I124" s="286"/>
      <c r="J124" s="23"/>
      <c r="K124" s="272"/>
      <c r="L124" s="273"/>
      <c r="M124" s="177"/>
      <c r="N124" s="204"/>
      <c r="O124" s="177"/>
      <c r="P124" s="26"/>
      <c r="Q124" s="26"/>
      <c r="R124" s="26"/>
      <c r="S124" s="27"/>
      <c r="T124" s="22"/>
      <c r="U124" s="22"/>
      <c r="V124" s="22"/>
      <c r="W124" s="29"/>
      <c r="X124" s="179"/>
      <c r="Y124" s="179"/>
    </row>
    <row r="125" spans="1:25" s="53" customFormat="1">
      <c r="A125" s="27"/>
      <c r="B125" s="25"/>
      <c r="C125" s="25"/>
      <c r="D125" s="177"/>
      <c r="E125" s="177"/>
      <c r="F125" s="178"/>
      <c r="G125" s="28"/>
      <c r="H125" s="28"/>
      <c r="I125" s="286"/>
      <c r="J125" s="23"/>
      <c r="K125" s="272"/>
      <c r="L125" s="273"/>
      <c r="M125" s="177"/>
      <c r="N125" s="204"/>
      <c r="O125" s="177"/>
      <c r="P125" s="26"/>
      <c r="Q125" s="26"/>
      <c r="R125" s="26"/>
      <c r="S125" s="27"/>
      <c r="T125" s="22"/>
      <c r="U125" s="22"/>
      <c r="V125" s="22"/>
      <c r="W125" s="29"/>
      <c r="X125" s="179"/>
      <c r="Y125" s="179"/>
    </row>
    <row r="126" spans="1:25" s="53" customFormat="1">
      <c r="A126" s="27"/>
      <c r="B126" s="29"/>
      <c r="C126" s="29"/>
      <c r="D126" s="177"/>
      <c r="E126" s="177"/>
      <c r="F126" s="178"/>
      <c r="G126" s="22"/>
      <c r="H126" s="28"/>
      <c r="I126" s="286"/>
      <c r="J126" s="23"/>
      <c r="K126" s="272"/>
      <c r="L126" s="273"/>
      <c r="M126" s="177"/>
      <c r="N126" s="204"/>
      <c r="O126" s="177"/>
      <c r="P126" s="26"/>
      <c r="Q126" s="26"/>
      <c r="R126" s="26"/>
      <c r="S126" s="27"/>
      <c r="T126" s="22"/>
      <c r="U126" s="30"/>
      <c r="V126" s="22"/>
      <c r="W126" s="29"/>
      <c r="X126" s="179"/>
      <c r="Y126" s="179"/>
    </row>
    <row r="127" spans="1:25" s="53" customFormat="1">
      <c r="A127" s="27"/>
      <c r="B127" s="29"/>
      <c r="C127" s="29"/>
      <c r="D127" s="177"/>
      <c r="E127" s="177"/>
      <c r="F127" s="178"/>
      <c r="G127" s="22"/>
      <c r="H127" s="28"/>
      <c r="I127" s="286"/>
      <c r="J127" s="23"/>
      <c r="K127" s="272"/>
      <c r="L127" s="274"/>
      <c r="M127" s="177"/>
      <c r="N127" s="205"/>
      <c r="O127" s="177"/>
      <c r="P127" s="32"/>
      <c r="Q127" s="32"/>
      <c r="R127" s="32"/>
      <c r="S127" s="27"/>
      <c r="T127" s="22"/>
      <c r="U127" s="22"/>
      <c r="V127" s="22"/>
      <c r="W127" s="29"/>
      <c r="X127" s="179"/>
      <c r="Y127" s="179"/>
    </row>
    <row r="128" spans="1:25" s="53" customFormat="1">
      <c r="A128" s="27"/>
      <c r="B128" s="25"/>
      <c r="C128" s="25"/>
      <c r="D128" s="177"/>
      <c r="E128" s="177"/>
      <c r="F128" s="178"/>
      <c r="G128" s="28"/>
      <c r="H128" s="181"/>
      <c r="I128" s="286"/>
      <c r="J128" s="23"/>
      <c r="K128" s="272"/>
      <c r="L128" s="273"/>
      <c r="M128" s="177"/>
      <c r="N128" s="204"/>
      <c r="O128" s="177"/>
      <c r="P128" s="26"/>
      <c r="Q128" s="26"/>
      <c r="R128" s="26"/>
      <c r="S128" s="27"/>
      <c r="T128" s="22"/>
      <c r="U128" s="22"/>
      <c r="V128" s="22"/>
      <c r="W128" s="29"/>
      <c r="X128" s="179"/>
      <c r="Y128" s="179"/>
    </row>
    <row r="129" spans="1:25" s="53" customFormat="1">
      <c r="A129" s="27"/>
      <c r="B129" s="29"/>
      <c r="C129" s="29"/>
      <c r="D129" s="177"/>
      <c r="E129" s="180"/>
      <c r="F129" s="178"/>
      <c r="G129" s="22"/>
      <c r="H129" s="181"/>
      <c r="I129" s="286"/>
      <c r="J129" s="23"/>
      <c r="K129" s="272"/>
      <c r="L129" s="24"/>
      <c r="M129" s="177"/>
      <c r="N129" s="206"/>
      <c r="O129" s="177"/>
      <c r="P129" s="26"/>
      <c r="Q129" s="26"/>
      <c r="R129" s="26"/>
      <c r="S129" s="27"/>
      <c r="T129" s="22"/>
      <c r="U129" s="22"/>
      <c r="V129" s="22"/>
      <c r="W129" s="29"/>
      <c r="X129" s="179"/>
      <c r="Y129" s="179"/>
    </row>
    <row r="130" spans="1:25" s="53" customFormat="1">
      <c r="A130" s="27"/>
      <c r="B130" s="25"/>
      <c r="C130" s="25"/>
      <c r="D130" s="177"/>
      <c r="E130" s="180"/>
      <c r="F130" s="178"/>
      <c r="G130" s="28"/>
      <c r="H130" s="181"/>
      <c r="I130" s="286"/>
      <c r="J130" s="23"/>
      <c r="K130" s="272"/>
      <c r="L130" s="273"/>
      <c r="M130" s="177"/>
      <c r="N130" s="204"/>
      <c r="O130" s="177"/>
      <c r="P130" s="26"/>
      <c r="Q130" s="26"/>
      <c r="R130" s="26"/>
      <c r="S130" s="27"/>
      <c r="T130" s="22"/>
      <c r="U130" s="22"/>
      <c r="V130" s="22"/>
      <c r="W130" s="29"/>
      <c r="X130" s="179"/>
      <c r="Y130" s="179"/>
    </row>
    <row r="131" spans="1:25" s="53" customFormat="1">
      <c r="A131" s="27"/>
      <c r="B131" s="25"/>
      <c r="C131" s="25"/>
      <c r="D131" s="177"/>
      <c r="E131" s="177"/>
      <c r="F131" s="178"/>
      <c r="G131" s="28"/>
      <c r="H131" s="181"/>
      <c r="I131" s="286"/>
      <c r="J131" s="23"/>
      <c r="K131" s="272"/>
      <c r="L131" s="273"/>
      <c r="M131" s="177"/>
      <c r="N131" s="204"/>
      <c r="O131" s="177"/>
      <c r="P131" s="26"/>
      <c r="Q131" s="26"/>
      <c r="R131" s="26"/>
      <c r="S131" s="27"/>
      <c r="T131" s="22"/>
      <c r="U131" s="22"/>
      <c r="V131" s="22"/>
      <c r="W131" s="29"/>
      <c r="X131" s="179"/>
      <c r="Y131" s="179"/>
    </row>
    <row r="132" spans="1:25" s="53" customFormat="1">
      <c r="A132" s="27"/>
      <c r="B132" s="29"/>
      <c r="C132" s="29"/>
      <c r="D132" s="177"/>
      <c r="E132" s="177"/>
      <c r="F132" s="178"/>
      <c r="G132" s="22"/>
      <c r="H132" s="181"/>
      <c r="I132" s="286"/>
      <c r="J132" s="23"/>
      <c r="K132" s="272"/>
      <c r="L132" s="31"/>
      <c r="M132" s="177"/>
      <c r="N132" s="207"/>
      <c r="O132" s="177"/>
      <c r="P132" s="26"/>
      <c r="Q132" s="26"/>
      <c r="R132" s="26"/>
      <c r="S132" s="27"/>
      <c r="T132" s="22"/>
      <c r="U132" s="30"/>
      <c r="V132" s="22"/>
      <c r="W132" s="29"/>
      <c r="X132" s="179"/>
      <c r="Y132" s="179"/>
    </row>
    <row r="133" spans="1:25">
      <c r="A133" s="53" t="s">
        <v>16</v>
      </c>
      <c r="B133" s="44"/>
      <c r="C133" s="44"/>
      <c r="G133" s="46"/>
      <c r="J133" s="12"/>
      <c r="L133" s="276"/>
      <c r="M133" s="186"/>
      <c r="N133" s="208"/>
      <c r="O133" s="190"/>
      <c r="P133" s="13"/>
      <c r="Q133" s="13"/>
      <c r="R133" s="13"/>
      <c r="S133" s="14"/>
      <c r="T133" s="14"/>
      <c r="U133" s="14"/>
      <c r="V133" s="14"/>
      <c r="W133" s="14"/>
    </row>
    <row r="134" spans="1:25">
      <c r="A134" s="53" t="s">
        <v>16</v>
      </c>
      <c r="B134" s="44"/>
      <c r="C134" s="44"/>
      <c r="G134" s="46"/>
      <c r="J134" s="12"/>
      <c r="L134" s="276"/>
      <c r="M134" s="186"/>
      <c r="N134" s="208"/>
      <c r="O134" s="190"/>
      <c r="P134" s="13"/>
      <c r="Q134" s="13"/>
      <c r="R134" s="13"/>
      <c r="S134" s="14"/>
      <c r="T134" s="14"/>
      <c r="U134" s="14"/>
      <c r="V134" s="14"/>
      <c r="W134" s="14"/>
    </row>
    <row r="135" spans="1:25">
      <c r="A135" s="53" t="s">
        <v>16</v>
      </c>
      <c r="B135" s="44"/>
      <c r="C135" s="44"/>
      <c r="G135" s="46"/>
      <c r="J135" s="12"/>
      <c r="L135" s="276"/>
      <c r="M135" s="186"/>
      <c r="N135" s="208"/>
      <c r="O135" s="190"/>
      <c r="P135" s="13"/>
      <c r="Q135" s="13"/>
      <c r="R135" s="13"/>
      <c r="S135" s="14"/>
      <c r="T135" s="14"/>
      <c r="U135" s="14"/>
      <c r="V135" s="14"/>
      <c r="W135" s="14"/>
    </row>
    <row r="136" spans="1:25">
      <c r="A136" s="53" t="s">
        <v>16</v>
      </c>
      <c r="B136" s="44"/>
      <c r="C136" s="44"/>
      <c r="G136" s="46"/>
      <c r="J136" s="12"/>
      <c r="L136" s="276"/>
      <c r="M136" s="186"/>
      <c r="N136" s="208"/>
      <c r="O136" s="190"/>
      <c r="P136" s="13"/>
      <c r="Q136" s="13"/>
      <c r="R136" s="13"/>
      <c r="S136" s="14"/>
      <c r="T136" s="14"/>
      <c r="U136" s="14"/>
      <c r="V136" s="14"/>
      <c r="W136" s="14"/>
    </row>
    <row r="137" spans="1:25">
      <c r="A137" s="53" t="s">
        <v>16</v>
      </c>
      <c r="B137" s="44"/>
      <c r="C137" s="44"/>
      <c r="G137" s="46"/>
      <c r="J137" s="12"/>
      <c r="L137" s="276"/>
      <c r="M137" s="186"/>
      <c r="N137" s="208"/>
      <c r="O137" s="190"/>
      <c r="P137" s="13"/>
      <c r="Q137" s="13"/>
      <c r="R137" s="13"/>
      <c r="S137" s="14"/>
      <c r="T137" s="14"/>
      <c r="U137" s="14"/>
      <c r="V137" s="14"/>
      <c r="W137" s="14"/>
    </row>
    <row r="138" spans="1:25">
      <c r="A138" s="53" t="s">
        <v>16</v>
      </c>
      <c r="B138" s="44"/>
      <c r="C138" s="44"/>
      <c r="G138" s="46"/>
      <c r="J138" s="12"/>
      <c r="L138" s="276"/>
      <c r="M138" s="186"/>
      <c r="N138" s="208"/>
      <c r="O138" s="190"/>
      <c r="P138" s="13"/>
      <c r="Q138" s="13"/>
      <c r="R138" s="13"/>
      <c r="S138" s="14"/>
      <c r="T138" s="14"/>
      <c r="U138" s="14"/>
      <c r="V138" s="14"/>
      <c r="W138" s="14"/>
    </row>
    <row r="139" spans="1:25">
      <c r="A139" s="53" t="s">
        <v>16</v>
      </c>
      <c r="B139" s="44"/>
      <c r="C139" s="44"/>
      <c r="G139" s="46"/>
      <c r="J139" s="12"/>
      <c r="L139" s="276"/>
      <c r="M139" s="186"/>
      <c r="N139" s="208"/>
      <c r="O139" s="190"/>
      <c r="P139" s="13"/>
      <c r="Q139" s="13"/>
      <c r="R139" s="13"/>
      <c r="S139" s="14"/>
      <c r="T139" s="14"/>
      <c r="U139" s="14"/>
      <c r="V139" s="14"/>
      <c r="W139" s="14"/>
    </row>
    <row r="140" spans="1:25">
      <c r="A140" s="53" t="s">
        <v>16</v>
      </c>
      <c r="B140" s="44"/>
      <c r="C140" s="44"/>
      <c r="G140" s="46"/>
      <c r="J140" s="12"/>
      <c r="L140" s="276"/>
      <c r="M140" s="186"/>
      <c r="N140" s="208"/>
      <c r="O140" s="190"/>
      <c r="P140" s="13"/>
      <c r="Q140" s="13"/>
      <c r="R140" s="13"/>
      <c r="S140" s="14"/>
      <c r="T140" s="14"/>
      <c r="U140" s="14"/>
      <c r="V140" s="14"/>
      <c r="W140" s="14"/>
    </row>
    <row r="141" spans="1:25">
      <c r="A141" s="53" t="s">
        <v>16</v>
      </c>
      <c r="B141" s="44"/>
      <c r="C141" s="44"/>
      <c r="G141" s="46"/>
      <c r="J141" s="12"/>
      <c r="L141" s="276"/>
      <c r="M141" s="186"/>
      <c r="N141" s="208"/>
      <c r="O141" s="190"/>
      <c r="P141" s="13"/>
      <c r="Q141" s="13"/>
      <c r="R141" s="13"/>
      <c r="S141" s="14"/>
      <c r="T141" s="14"/>
      <c r="U141" s="14"/>
      <c r="V141" s="14"/>
      <c r="W141" s="14"/>
    </row>
    <row r="142" spans="1:25">
      <c r="A142" s="53" t="s">
        <v>16</v>
      </c>
      <c r="B142" s="44"/>
      <c r="C142" s="44"/>
      <c r="G142" s="46"/>
      <c r="J142" s="12"/>
      <c r="L142" s="276"/>
      <c r="M142" s="186"/>
      <c r="N142" s="208"/>
      <c r="O142" s="190"/>
      <c r="P142" s="13"/>
      <c r="Q142" s="13"/>
      <c r="R142" s="13"/>
      <c r="S142" s="14"/>
      <c r="T142" s="14"/>
      <c r="U142" s="14"/>
      <c r="V142" s="14"/>
      <c r="W142" s="14"/>
    </row>
    <row r="143" spans="1:25">
      <c r="J143" s="12"/>
      <c r="M143" s="186"/>
      <c r="N143" s="209"/>
      <c r="O143" s="190"/>
      <c r="P143" s="15"/>
      <c r="Q143" s="15"/>
      <c r="R143" s="15"/>
      <c r="S143" s="14"/>
      <c r="T143" s="16"/>
      <c r="U143" s="16"/>
      <c r="V143" s="16"/>
      <c r="W143" s="17"/>
    </row>
    <row r="144" spans="1:25">
      <c r="J144" s="12"/>
      <c r="M144" s="186"/>
      <c r="N144" s="209"/>
      <c r="O144" s="190"/>
      <c r="P144" s="15"/>
      <c r="Q144" s="15"/>
      <c r="R144" s="15"/>
      <c r="S144" s="14"/>
      <c r="T144" s="16"/>
      <c r="U144" s="16"/>
      <c r="V144" s="16"/>
      <c r="W144" s="17"/>
    </row>
    <row r="145" spans="10:23">
      <c r="J145" s="12"/>
      <c r="M145" s="186"/>
      <c r="N145" s="209"/>
      <c r="O145" s="190"/>
      <c r="P145" s="15"/>
      <c r="Q145" s="15"/>
      <c r="R145" s="15"/>
      <c r="S145" s="14"/>
      <c r="T145" s="16"/>
      <c r="U145" s="16"/>
      <c r="V145" s="16"/>
      <c r="W145" s="17"/>
    </row>
    <row r="146" spans="10:23" ht="12" customHeight="1">
      <c r="J146" s="12"/>
      <c r="M146" s="186"/>
      <c r="N146" s="209"/>
      <c r="O146" s="190"/>
      <c r="P146" s="15"/>
      <c r="Q146" s="15"/>
      <c r="R146" s="15"/>
      <c r="S146" s="14"/>
      <c r="T146" s="16"/>
      <c r="U146" s="16"/>
      <c r="V146" s="16"/>
      <c r="W146" s="17"/>
    </row>
    <row r="147" spans="10:23" ht="12.75" customHeight="1">
      <c r="J147" s="12"/>
      <c r="M147" s="186"/>
      <c r="N147" s="209"/>
      <c r="O147" s="190"/>
      <c r="P147" s="15"/>
      <c r="Q147" s="15"/>
      <c r="R147" s="15"/>
      <c r="S147" s="14"/>
      <c r="T147" s="16"/>
      <c r="U147" s="16"/>
      <c r="V147" s="16"/>
      <c r="W147" s="17"/>
    </row>
    <row r="148" spans="10:23">
      <c r="J148" s="12"/>
      <c r="M148" s="186"/>
      <c r="N148" s="209"/>
      <c r="O148" s="190"/>
      <c r="P148" s="15"/>
      <c r="Q148" s="15"/>
      <c r="R148" s="15"/>
      <c r="S148" s="14"/>
      <c r="T148" s="16"/>
      <c r="U148" s="16"/>
      <c r="V148" s="16"/>
      <c r="W148" s="17"/>
    </row>
    <row r="149" spans="10:23">
      <c r="J149" s="12"/>
      <c r="M149" s="186"/>
      <c r="N149" s="209"/>
      <c r="O149" s="190"/>
      <c r="P149" s="15"/>
      <c r="Q149" s="15"/>
      <c r="R149" s="15"/>
      <c r="S149" s="14"/>
      <c r="T149" s="16"/>
      <c r="U149" s="16"/>
      <c r="V149" s="16"/>
      <c r="W149" s="17"/>
    </row>
    <row r="150" spans="10:23">
      <c r="J150" s="12"/>
      <c r="M150" s="186"/>
      <c r="N150" s="209"/>
      <c r="O150" s="190"/>
      <c r="P150" s="15"/>
      <c r="Q150" s="15"/>
      <c r="R150" s="15"/>
      <c r="S150" s="14"/>
      <c r="T150" s="16"/>
      <c r="U150" s="16"/>
      <c r="V150" s="16"/>
      <c r="W150" s="17"/>
    </row>
    <row r="151" spans="10:23">
      <c r="J151" s="12"/>
      <c r="M151" s="186"/>
      <c r="N151" s="209"/>
      <c r="O151" s="190"/>
      <c r="P151" s="15"/>
      <c r="Q151" s="15"/>
      <c r="R151" s="15"/>
      <c r="S151" s="14"/>
      <c r="T151" s="16"/>
      <c r="U151" s="16"/>
      <c r="V151" s="16"/>
      <c r="W151" s="17"/>
    </row>
    <row r="152" spans="10:23">
      <c r="J152" s="12"/>
      <c r="M152" s="186"/>
      <c r="N152" s="209"/>
      <c r="O152" s="190"/>
      <c r="P152" s="15"/>
      <c r="Q152" s="15"/>
      <c r="R152" s="15"/>
      <c r="S152" s="14"/>
      <c r="T152" s="16"/>
      <c r="U152" s="16"/>
      <c r="V152" s="16"/>
      <c r="W152" s="17"/>
    </row>
    <row r="153" spans="10:23">
      <c r="J153" s="12"/>
      <c r="M153" s="186"/>
      <c r="N153" s="209"/>
      <c r="O153" s="190"/>
      <c r="P153" s="15"/>
      <c r="Q153" s="15"/>
      <c r="R153" s="15"/>
      <c r="S153" s="14"/>
      <c r="T153" s="16"/>
      <c r="U153" s="16"/>
      <c r="V153" s="16"/>
      <c r="W153" s="17"/>
    </row>
    <row r="154" spans="10:23">
      <c r="J154" s="12"/>
      <c r="M154" s="186"/>
      <c r="N154" s="209"/>
      <c r="O154" s="190"/>
      <c r="P154" s="15"/>
      <c r="Q154" s="15"/>
      <c r="R154" s="15"/>
      <c r="S154" s="14"/>
      <c r="T154" s="16"/>
      <c r="U154" s="16"/>
      <c r="V154" s="16"/>
      <c r="W154" s="17"/>
    </row>
    <row r="155" spans="10:23">
      <c r="J155" s="12"/>
      <c r="M155" s="186"/>
      <c r="N155" s="209"/>
      <c r="O155" s="190"/>
      <c r="P155" s="15"/>
      <c r="Q155" s="15"/>
      <c r="R155" s="15"/>
      <c r="S155" s="14"/>
      <c r="T155" s="16"/>
      <c r="U155" s="16"/>
      <c r="V155" s="16"/>
      <c r="W155" s="17"/>
    </row>
    <row r="156" spans="10:23">
      <c r="J156" s="12"/>
      <c r="M156" s="186"/>
      <c r="N156" s="209"/>
      <c r="O156" s="190"/>
      <c r="P156" s="15"/>
      <c r="Q156" s="15"/>
      <c r="R156" s="15"/>
      <c r="S156" s="14"/>
      <c r="T156" s="16"/>
      <c r="U156" s="16"/>
      <c r="V156" s="16"/>
      <c r="W156" s="17"/>
    </row>
    <row r="157" spans="10:23">
      <c r="J157" s="12"/>
      <c r="M157" s="186"/>
      <c r="N157" s="209"/>
      <c r="O157" s="190"/>
      <c r="P157" s="15"/>
      <c r="Q157" s="15"/>
      <c r="R157" s="15"/>
      <c r="S157" s="14"/>
      <c r="T157" s="16"/>
      <c r="U157" s="16"/>
      <c r="V157" s="16"/>
      <c r="W157" s="17"/>
    </row>
    <row r="158" spans="10:23">
      <c r="J158" s="12"/>
      <c r="M158" s="186"/>
      <c r="N158" s="209"/>
      <c r="O158" s="190"/>
      <c r="P158" s="15"/>
      <c r="Q158" s="15"/>
      <c r="R158" s="15"/>
      <c r="S158" s="14"/>
      <c r="T158" s="16"/>
      <c r="U158" s="16"/>
      <c r="V158" s="16"/>
      <c r="W158" s="17"/>
    </row>
    <row r="159" spans="10:23">
      <c r="J159" s="12"/>
      <c r="M159" s="186"/>
      <c r="N159" s="209"/>
      <c r="O159" s="190"/>
      <c r="P159" s="15"/>
      <c r="Q159" s="15"/>
      <c r="R159" s="15"/>
      <c r="S159" s="14"/>
      <c r="T159" s="16"/>
      <c r="U159" s="16"/>
      <c r="V159" s="16"/>
      <c r="W159" s="17"/>
    </row>
    <row r="160" spans="10:23">
      <c r="J160" s="12"/>
      <c r="M160" s="186"/>
      <c r="N160" s="209"/>
      <c r="O160" s="190"/>
      <c r="P160" s="15"/>
      <c r="Q160" s="15"/>
      <c r="R160" s="15"/>
      <c r="S160" s="14"/>
      <c r="T160" s="16"/>
      <c r="U160" s="16"/>
      <c r="V160" s="16"/>
      <c r="W160" s="17"/>
    </row>
    <row r="161" spans="10:23">
      <c r="J161" s="12"/>
      <c r="M161" s="186"/>
      <c r="N161" s="209"/>
      <c r="O161" s="190"/>
      <c r="P161" s="15"/>
      <c r="Q161" s="15"/>
      <c r="R161" s="15"/>
      <c r="S161" s="14"/>
      <c r="T161" s="16"/>
      <c r="U161" s="16"/>
      <c r="V161" s="16"/>
      <c r="W161" s="17"/>
    </row>
    <row r="162" spans="10:23">
      <c r="J162" s="12"/>
      <c r="M162" s="186"/>
      <c r="N162" s="209"/>
      <c r="O162" s="190"/>
      <c r="P162" s="15"/>
      <c r="Q162" s="15"/>
      <c r="R162" s="15"/>
      <c r="S162" s="14"/>
      <c r="T162" s="16"/>
      <c r="U162" s="16"/>
      <c r="V162" s="16"/>
      <c r="W162" s="17"/>
    </row>
    <row r="163" spans="10:23">
      <c r="J163" s="12"/>
      <c r="M163" s="186"/>
      <c r="N163" s="209"/>
      <c r="O163" s="190"/>
      <c r="P163" s="15"/>
      <c r="Q163" s="15"/>
      <c r="R163" s="15"/>
      <c r="S163" s="14"/>
      <c r="T163" s="16"/>
      <c r="U163" s="16"/>
      <c r="V163" s="16"/>
      <c r="W163" s="17"/>
    </row>
    <row r="164" spans="10:23" ht="12" customHeight="1"/>
    <row r="165" spans="10:23" ht="12.75" customHeight="1"/>
    <row r="166" spans="10:23" ht="12" customHeight="1"/>
    <row r="167" spans="10:23" ht="12.75" customHeight="1"/>
    <row r="178" ht="12" customHeight="1"/>
    <row r="179" ht="12.75" customHeight="1"/>
    <row r="180" ht="12" customHeight="1"/>
    <row r="181" ht="12.75" customHeight="1"/>
    <row r="184" ht="12" customHeight="1"/>
    <row r="185" ht="12.75" customHeight="1"/>
    <row r="186" ht="12" customHeight="1"/>
    <row r="187" ht="12.75" customHeight="1"/>
    <row r="188" ht="12" customHeight="1"/>
    <row r="189" ht="12.75" customHeight="1"/>
    <row r="191" ht="12.75" customHeight="1"/>
    <row r="201" ht="12" customHeight="1"/>
    <row r="202" ht="12.75" customHeight="1"/>
    <row r="203" ht="12" customHeight="1"/>
    <row r="204" ht="12.75" customHeight="1"/>
    <row r="208" ht="12" customHeight="1"/>
    <row r="209" ht="12.75" customHeight="1"/>
    <row r="211" ht="12" customHeight="1"/>
    <row r="212" ht="12.75" customHeight="1"/>
  </sheetData>
  <sheetProtection autoFilter="0"/>
  <protectedRanges>
    <protectedRange password="EE42" sqref="A1:H2 B87:H97 B15:H20 B7:H13 B3:H5 A102:H65536 C21:H21 A6:H6 A10 A14:H14 A18 A22 A26 A30 A34 A38 A42 A46 A50 A54 A58 A62 A66 A70 A74 A78:H78 A82 A86 A90 A94 A98 B80:H85 B79:G79 B22:H77 S67 J84:J85 J87:J97 J1:J5 J102:J65536 J9:J22 J74:J80 J30:J62 J64:J71" name="Range1"/>
    <protectedRange password="EE42" sqref="J7:J8" name="Range1_2"/>
    <protectedRange password="EE42" sqref="B86:H86 J86" name="Range1_3"/>
    <protectedRange password="EE42" sqref="B98:H98 J98" name="Range1_4"/>
    <protectedRange password="EE42" sqref="H79" name="Range1_5"/>
    <protectedRange password="EE42" sqref="B101:F101 H101 J101" name="Range1_7"/>
    <protectedRange password="EE42" sqref="B99:F100 H99:H100 J99:J100" name="Range1_4_2"/>
    <protectedRange password="EE42" sqref="A99:A100" name="Range1_10_1"/>
    <protectedRange password="EE42" sqref="G101" name="Range1_6_1_1"/>
    <protectedRange password="EE42" sqref="G99:G100" name="Range1_4_1_2"/>
    <protectedRange password="EE42" sqref="J6" name="Range1_1_1"/>
    <protectedRange password="EE42" sqref="R52 R22 R31:S34 R36:S36 S65:S66 R74:S75 R97:S97 R68:S71 R93:S94 R63:S63 R59:S59 R20:S20 R16:S16 R77:S78 R64:R67" name="Range1_5_1"/>
    <protectedRange password="EE42" sqref="R62:S62" name="Range1_6_1"/>
    <protectedRange password="EE42" sqref="R13:S13" name="Range1_7_2"/>
    <protectedRange password="EE42" sqref="R44:S44" name="Range1_11"/>
    <protectedRange password="EE42" sqref="R55:S55" name="Range1_15"/>
    <protectedRange password="EE42" sqref="R56:S56" name="Range1_17"/>
    <protectedRange password="EE42" sqref="R91:S91" name="Range1_21"/>
    <protectedRange password="EE42" sqref="R92:S92" name="Range1_22"/>
    <protectedRange password="EE42" sqref="R45:S45" name="Range1_5_1_1"/>
    <protectedRange password="EE42" sqref="K52 K22 K31:L34 K36:L36 L65:L66 K64:K66 K74:L75 K97:L97 K67:L71 K93:L94 K102:K65536 K63:L63 K59:L59 K16:L16 K20:L20 K77:L78" name="Range1_6"/>
    <protectedRange password="EE42" sqref="K101" name="Range1_7_3"/>
    <protectedRange password="EE42" sqref="K62:L62" name="Range1_6_2"/>
    <protectedRange password="EE42" sqref="K13:L13" name="Range1_7_2_1"/>
    <protectedRange password="EE42" sqref="K44:L44" name="Range1_11_1"/>
    <protectedRange password="EE42" sqref="K55:L55" name="Range1_15_1"/>
    <protectedRange password="EE42" sqref="K56:L56" name="Range1_17_1"/>
    <protectedRange password="EE42" sqref="K91:L91" name="Range1_21_1"/>
    <protectedRange password="EE42" sqref="K92:L92" name="Range1_22_1"/>
    <protectedRange password="EE42" sqref="K45:L45" name="Range1_5_1_1_1"/>
    <protectedRange password="EE42" sqref="T31:T34 V31:V34 T59 V59 T36 V36 T63 T97 V97 T74:T75 V74:V75 T65:T71 V65:V71 U13 T93:T94 V93:V94 U45 V63 T16 T20 T77 V16 V20 V77 U78 W78 W45" name="Range1_8"/>
    <protectedRange password="EE42" sqref="T62 V62" name="Range1_6_3"/>
    <protectedRange password="EE42" sqref="T13 V13" name="Range1_7_2_2"/>
    <protectedRange password="EE42" sqref="T44:V44" name="Range1_11_2"/>
    <protectedRange password="EE42" sqref="T55 V55" name="Range1_15_2"/>
    <protectedRange password="EE42" sqref="T56 V56" name="Range1_17_2"/>
    <protectedRange password="EE42" sqref="T91 V91" name="Range1_21_2"/>
    <protectedRange password="EE42" sqref="T92 V92" name="Range1_22_2"/>
    <protectedRange password="EE42" sqref="T45 V45" name="Range1_5_1_1_2"/>
    <protectedRange password="EE42" sqref="I74:I75 I84:I85 I87:I92 I94:I97 I1:I5 I102:I65536 I30:I41 I44:I71 I7:I22 I77:I80" name="Range1_9"/>
    <protectedRange password="EE42" sqref="I6" name="Range1_1_2"/>
    <protectedRange password="EE42" sqref="I86" name="Range1_3_1"/>
    <protectedRange password="EE42" sqref="I98" name="Range1_4_1"/>
    <protectedRange password="EE42" sqref="I101" name="Range1_7_4"/>
    <protectedRange password="EE42" sqref="I99:I100" name="Range1_4_2_1"/>
  </protectedRanges>
  <autoFilter ref="A1:W142" xr:uid="{00000000-0009-0000-0000-000004000000}"/>
  <dataValidations count="22">
    <dataValidation type="list" allowBlank="1" showInputMessage="1" showErrorMessage="1" sqref="N127" xr:uid="{00000000-0002-0000-0400-000005000000}">
      <formula1>$O$127:$O$127</formula1>
    </dataValidation>
    <dataValidation type="list" allowBlank="1" showInputMessage="1" showErrorMessage="1" sqref="N95:N96" xr:uid="{00000000-0002-0000-0400-000006000000}">
      <formula1>$O$95:$O$95</formula1>
    </dataValidation>
    <dataValidation type="list" allowBlank="1" showInputMessage="1" showErrorMessage="1" sqref="N94" xr:uid="{00000000-0002-0000-0400-000007000000}">
      <formula1>$O$94:$P$94</formula1>
    </dataValidation>
    <dataValidation type="list" allowBlank="1" showInputMessage="1" showErrorMessage="1" sqref="N66 N68:N69" xr:uid="{00000000-0002-0000-0400-000008000000}">
      <formula1>$O$66:$P$66</formula1>
    </dataValidation>
    <dataValidation type="list" allowBlank="1" showInputMessage="1" showErrorMessage="1" sqref="N65" xr:uid="{00000000-0002-0000-0400-000009000000}">
      <formula1>$O$65:$O$65</formula1>
    </dataValidation>
    <dataValidation type="list" allowBlank="1" showInputMessage="1" showErrorMessage="1" sqref="N64" xr:uid="{00000000-0002-0000-0400-00000A000000}">
      <formula1>$O$64:$P$64</formula1>
    </dataValidation>
    <dataValidation type="list" allowBlank="1" showInputMessage="1" showErrorMessage="1" sqref="N55" xr:uid="{00000000-0002-0000-0400-00000B000000}">
      <formula1>$O$55:$O$55</formula1>
    </dataValidation>
    <dataValidation type="list" allowBlank="1" showInputMessage="1" showErrorMessage="1" sqref="N52" xr:uid="{00000000-0002-0000-0400-00000C000000}">
      <formula1>$O$52:$O$52</formula1>
    </dataValidation>
    <dataValidation type="list" allowBlank="1" showInputMessage="1" showErrorMessage="1" sqref="N53" xr:uid="{00000000-0002-0000-0400-00000D000000}">
      <formula1>$O$53:$O$53</formula1>
    </dataValidation>
    <dataValidation type="list" allowBlank="1" showInputMessage="1" showErrorMessage="1" sqref="N50" xr:uid="{00000000-0002-0000-0400-00000E000000}">
      <formula1>$O$50:$O$50</formula1>
    </dataValidation>
    <dataValidation type="list" allowBlank="1" showInputMessage="1" showErrorMessage="1" sqref="N46" xr:uid="{00000000-0002-0000-0400-00000F000000}">
      <formula1>$O$46:$O$46</formula1>
    </dataValidation>
    <dataValidation type="list" allowBlank="1" showInputMessage="1" showErrorMessage="1" sqref="N37" xr:uid="{00000000-0002-0000-0400-000010000000}">
      <formula1>$O$37:$O$37</formula1>
    </dataValidation>
    <dataValidation type="list" allowBlank="1" showInputMessage="1" showErrorMessage="1" sqref="N98" xr:uid="{00000000-0002-0000-0400-000011000000}">
      <formula1>$O$22:$Q$22</formula1>
    </dataValidation>
    <dataValidation type="list" allowBlank="1" showInputMessage="1" showErrorMessage="1" sqref="N99:N100" xr:uid="{00000000-0002-0000-0400-000012000000}">
      <formula1>$S$22:$U$22</formula1>
    </dataValidation>
    <dataValidation type="list" allowBlank="1" showInputMessage="1" showErrorMessage="1" sqref="N101" xr:uid="{00000000-0002-0000-0400-000013000000}">
      <formula1>$S$101:$S$101</formula1>
    </dataValidation>
    <dataValidation type="list" allowBlank="1" showInputMessage="1" showErrorMessage="1" sqref="S64" xr:uid="{020739D8-6199-4E7F-880B-5D797FB5806A}">
      <formula1>$Q$64:$S$64</formula1>
    </dataValidation>
    <dataValidation type="list" allowBlank="1" showInputMessage="1" showErrorMessage="1" sqref="S52" xr:uid="{291671BE-5609-4960-8FF3-88694F087C13}">
      <formula1>$Q$52:$R$52</formula1>
    </dataValidation>
    <dataValidation type="list" allowBlank="1" showInputMessage="1" showErrorMessage="1" sqref="L52" xr:uid="{982AA30B-842A-4CAF-9AFF-9AA9695D1193}">
      <formula1>$S$52:$T$52</formula1>
    </dataValidation>
    <dataValidation type="list" allowBlank="1" showInputMessage="1" showErrorMessage="1" sqref="L64" xr:uid="{146B44C1-A578-4667-A57E-91B7B6EB0F95}">
      <formula1>$S$64:$U$64</formula1>
    </dataValidation>
    <dataValidation type="list" allowBlank="1" showInputMessage="1" showErrorMessage="1" sqref="L101" xr:uid="{72AACCB8-AE32-4D27-B214-433EF4A8856E}">
      <formula1>$S$101:$T$101</formula1>
    </dataValidation>
    <dataValidation type="list" allowBlank="1" showInputMessage="1" showErrorMessage="1" sqref="L127" xr:uid="{709AACB3-6828-4844-87FC-B015797AF738}">
      <formula1>$S$127:$T$127</formula1>
    </dataValidation>
    <dataValidation type="list" allowBlank="1" showInputMessage="1" showErrorMessage="1" sqref="I29" xr:uid="{7655132B-AC59-4FA3-AE40-597A915E24B3}">
      <formula1>$P$29:$R$29</formula1>
    </dataValidation>
  </dataValidations>
  <hyperlinks>
    <hyperlink ref="N9" location="Sheet1!A1" display="X" xr:uid="{00000000-0004-0000-0400-000000000000}"/>
  </hyperlinks>
  <printOptions horizontalCentered="1"/>
  <pageMargins left="0.25" right="0.25" top="0.5" bottom="0.5" header="0.3" footer="0.17"/>
  <pageSetup paperSize="5" scale="74" fitToHeight="22" orientation="landscape" horizontalDpi="300" verticalDpi="300" r:id="rId1"/>
  <headerFooter>
    <oddHeader>&amp;L&amp;"Arial,Regular"Refinitv&amp;C&amp;"Arial,Regular"DIST Reverse Mapping&amp;R&amp;"Arial,Regular"New Installations - Conversions</oddHeader>
    <oddFooter>&amp;L&amp;"Arial,Regular"&amp;8Confidential&amp;C&amp;"Arial,Regular"&amp;8&amp;D&amp;R&amp;"Arial,Regular"&amp;8Page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1"/>
  <sheetViews>
    <sheetView workbookViewId="0">
      <selection activeCell="C4" sqref="C4"/>
    </sheetView>
  </sheetViews>
  <sheetFormatPr defaultRowHeight="15"/>
  <cols>
    <col min="1" max="1" width="17.5703125" customWidth="1"/>
    <col min="2" max="2" width="14.42578125" customWidth="1"/>
    <col min="3" max="3" width="11" customWidth="1"/>
    <col min="4" max="4" width="13.5703125" customWidth="1"/>
    <col min="5" max="5" width="11.28515625" customWidth="1"/>
    <col min="6" max="6" width="16.140625" customWidth="1"/>
    <col min="7" max="7" width="11.28515625" customWidth="1"/>
    <col min="8" max="8" width="12.85546875" customWidth="1"/>
  </cols>
  <sheetData>
    <row r="1" spans="1:8" ht="75">
      <c r="A1" s="288" t="s">
        <v>525</v>
      </c>
      <c r="B1" s="289" t="s">
        <v>519</v>
      </c>
      <c r="C1" s="290" t="s">
        <v>526</v>
      </c>
      <c r="D1" s="292" t="s">
        <v>527</v>
      </c>
      <c r="E1" s="291" t="s">
        <v>540</v>
      </c>
      <c r="F1" s="291" t="s">
        <v>541</v>
      </c>
      <c r="G1" s="291" t="s">
        <v>528</v>
      </c>
      <c r="H1" s="291" t="s">
        <v>396</v>
      </c>
    </row>
    <row r="2" spans="1:8">
      <c r="A2" s="313" t="s">
        <v>529</v>
      </c>
      <c r="B2" s="313"/>
      <c r="C2" s="314"/>
      <c r="D2" s="315"/>
      <c r="E2" s="296"/>
      <c r="F2" s="297"/>
      <c r="G2" s="298"/>
      <c r="H2" s="299"/>
    </row>
    <row r="3" spans="1:8">
      <c r="A3" s="302" t="s">
        <v>531</v>
      </c>
      <c r="B3" s="302" t="s">
        <v>532</v>
      </c>
      <c r="C3" s="316"/>
      <c r="D3" s="317"/>
      <c r="E3" s="300"/>
      <c r="F3" s="301"/>
      <c r="G3" s="302"/>
      <c r="H3" s="303"/>
    </row>
    <row r="4" spans="1:8">
      <c r="A4" s="302" t="s">
        <v>533</v>
      </c>
      <c r="B4" s="302" t="s">
        <v>534</v>
      </c>
      <c r="C4" s="316"/>
      <c r="D4" s="317"/>
      <c r="E4" s="304"/>
      <c r="F4" s="302"/>
      <c r="G4" s="302"/>
      <c r="H4" s="305"/>
    </row>
    <row r="5" spans="1:8">
      <c r="A5" s="302" t="s">
        <v>535</v>
      </c>
      <c r="B5" s="302" t="s">
        <v>536</v>
      </c>
      <c r="C5" s="318"/>
      <c r="D5" s="317"/>
      <c r="E5" s="296"/>
      <c r="F5" s="302"/>
      <c r="G5" s="302"/>
      <c r="H5" s="306"/>
    </row>
    <row r="6" spans="1:8">
      <c r="A6" s="302" t="s">
        <v>537</v>
      </c>
      <c r="B6" s="302" t="s">
        <v>530</v>
      </c>
      <c r="C6" s="318"/>
      <c r="D6" s="317"/>
      <c r="E6" s="296"/>
      <c r="F6" s="302"/>
      <c r="G6" s="302"/>
      <c r="H6" s="307"/>
    </row>
    <row r="7" spans="1:8">
      <c r="A7" s="302"/>
      <c r="B7" s="302"/>
      <c r="C7" s="318"/>
      <c r="D7" s="317"/>
      <c r="E7" s="296"/>
      <c r="F7" s="302"/>
      <c r="G7" s="308"/>
      <c r="H7" s="308"/>
    </row>
    <row r="9" spans="1:8">
      <c r="A9" s="213"/>
      <c r="B9" s="213"/>
    </row>
    <row r="10" spans="1:8">
      <c r="A10" s="127" t="s">
        <v>538</v>
      </c>
      <c r="B10" s="127"/>
    </row>
    <row r="11" spans="1:8">
      <c r="A11" s="127" t="s">
        <v>539</v>
      </c>
      <c r="B11" s="127"/>
    </row>
  </sheetData>
  <pageMargins left="0.7" right="0.7" top="0.75" bottom="0.75" header="0.3" footer="0.3"/>
  <pageSetup paperSize="21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208"/>
  <sheetViews>
    <sheetView zoomScaleNormal="100" workbookViewId="0">
      <selection activeCell="K1" sqref="K1:L99"/>
    </sheetView>
  </sheetViews>
  <sheetFormatPr defaultColWidth="9.140625" defaultRowHeight="12"/>
  <cols>
    <col min="1" max="1" width="3.85546875" style="53" customWidth="1"/>
    <col min="2" max="2" width="5.42578125" style="48" customWidth="1"/>
    <col min="3" max="3" width="9.42578125" style="48" customWidth="1"/>
    <col min="4" max="4" width="11.85546875" style="50" customWidth="1"/>
    <col min="5" max="5" width="27.42578125" style="45" customWidth="1"/>
    <col min="6" max="6" width="32.7109375" style="51" customWidth="1"/>
    <col min="7" max="8" width="23.7109375" style="52" customWidth="1"/>
    <col min="9" max="9" width="5.85546875" style="48" customWidth="1"/>
    <col min="10" max="10" width="9.28515625" style="98" customWidth="1"/>
    <col min="11" max="12" width="34.5703125" style="4" customWidth="1"/>
    <col min="13" max="14" width="9.140625" style="85"/>
    <col min="15" max="16384" width="9.140625" style="43"/>
  </cols>
  <sheetData>
    <row r="1" spans="1:14" s="68" customFormat="1" ht="79.5" customHeight="1">
      <c r="A1" s="65"/>
      <c r="B1" s="66" t="s">
        <v>9</v>
      </c>
      <c r="C1" s="60" t="s">
        <v>10</v>
      </c>
      <c r="D1" s="66" t="s">
        <v>105</v>
      </c>
      <c r="E1" s="60" t="s">
        <v>330</v>
      </c>
      <c r="F1" s="60" t="s">
        <v>11</v>
      </c>
      <c r="G1" s="69" t="s">
        <v>12</v>
      </c>
      <c r="H1" s="132" t="s">
        <v>39</v>
      </c>
      <c r="I1" s="60" t="s">
        <v>13</v>
      </c>
      <c r="J1" s="60" t="s">
        <v>250</v>
      </c>
      <c r="K1" s="229" t="s">
        <v>434</v>
      </c>
      <c r="L1" s="229" t="s">
        <v>435</v>
      </c>
    </row>
    <row r="2" spans="1:14" s="154" customFormat="1">
      <c r="A2" s="176">
        <v>1</v>
      </c>
      <c r="B2" s="148">
        <v>1</v>
      </c>
      <c r="C2" s="144" t="s">
        <v>325</v>
      </c>
      <c r="D2" s="150"/>
      <c r="E2" s="146" t="s">
        <v>326</v>
      </c>
      <c r="F2" s="146" t="s">
        <v>327</v>
      </c>
      <c r="G2" s="151"/>
      <c r="H2" s="152"/>
      <c r="I2" s="146"/>
      <c r="J2" s="146"/>
      <c r="K2" s="147" t="s">
        <v>370</v>
      </c>
      <c r="L2" s="147" t="s">
        <v>370</v>
      </c>
    </row>
    <row r="3" spans="1:14" s="154" customFormat="1">
      <c r="A3" s="176">
        <v>2</v>
      </c>
      <c r="B3" s="148">
        <v>51</v>
      </c>
      <c r="C3" s="145" t="s">
        <v>328</v>
      </c>
      <c r="D3" s="150"/>
      <c r="E3" s="146" t="s">
        <v>329</v>
      </c>
      <c r="F3" s="146" t="s">
        <v>327</v>
      </c>
      <c r="G3" s="151"/>
      <c r="H3" s="152"/>
      <c r="I3" s="146"/>
      <c r="J3" s="146"/>
      <c r="K3" s="147" t="s">
        <v>370</v>
      </c>
      <c r="L3" s="147" t="s">
        <v>370</v>
      </c>
    </row>
    <row r="4" spans="1:14" s="154" customFormat="1">
      <c r="A4" s="176">
        <v>3</v>
      </c>
      <c r="B4" s="148">
        <v>101</v>
      </c>
      <c r="C4" s="145" t="s">
        <v>328</v>
      </c>
      <c r="D4" s="150"/>
      <c r="E4" s="146" t="s">
        <v>331</v>
      </c>
      <c r="F4" s="146" t="s">
        <v>327</v>
      </c>
      <c r="G4" s="151"/>
      <c r="H4" s="152"/>
      <c r="I4" s="146"/>
      <c r="J4" s="146"/>
      <c r="K4" s="147" t="s">
        <v>38</v>
      </c>
      <c r="L4" s="147" t="s">
        <v>38</v>
      </c>
    </row>
    <row r="5" spans="1:14" s="154" customFormat="1">
      <c r="A5" s="176">
        <v>4</v>
      </c>
      <c r="B5" s="148">
        <v>201</v>
      </c>
      <c r="C5" s="145" t="s">
        <v>328</v>
      </c>
      <c r="D5" s="150"/>
      <c r="E5" s="146" t="s">
        <v>332</v>
      </c>
      <c r="F5" s="146" t="s">
        <v>327</v>
      </c>
      <c r="G5" s="151"/>
      <c r="H5" s="152"/>
      <c r="I5" s="146"/>
      <c r="J5" s="146"/>
      <c r="K5" s="147" t="s">
        <v>38</v>
      </c>
      <c r="L5" s="147" t="s">
        <v>38</v>
      </c>
    </row>
    <row r="6" spans="1:14" ht="24">
      <c r="A6" s="176">
        <v>5</v>
      </c>
      <c r="B6" s="86">
        <v>205</v>
      </c>
      <c r="C6" s="86" t="s">
        <v>333</v>
      </c>
      <c r="D6" s="89" t="s">
        <v>188</v>
      </c>
      <c r="E6" s="174" t="s">
        <v>42</v>
      </c>
      <c r="F6" s="59" t="s">
        <v>135</v>
      </c>
      <c r="G6" s="134" t="s">
        <v>272</v>
      </c>
      <c r="H6" s="99"/>
      <c r="I6" s="86" t="s">
        <v>14</v>
      </c>
      <c r="J6" s="94" t="s">
        <v>251</v>
      </c>
      <c r="K6" s="137" t="s">
        <v>425</v>
      </c>
      <c r="L6" s="137" t="s">
        <v>425</v>
      </c>
      <c r="N6" s="85" t="s">
        <v>16</v>
      </c>
    </row>
    <row r="7" spans="1:14" ht="132">
      <c r="A7" s="176">
        <v>6</v>
      </c>
      <c r="B7" s="86">
        <v>214</v>
      </c>
      <c r="C7" s="86" t="s">
        <v>333</v>
      </c>
      <c r="D7" s="89" t="s">
        <v>189</v>
      </c>
      <c r="E7" s="174" t="s">
        <v>43</v>
      </c>
      <c r="F7" s="59" t="s">
        <v>136</v>
      </c>
      <c r="G7" s="134"/>
      <c r="H7" s="100" t="s">
        <v>299</v>
      </c>
      <c r="I7" s="86" t="s">
        <v>14</v>
      </c>
      <c r="J7" s="94" t="s">
        <v>251</v>
      </c>
      <c r="K7" s="232" t="s">
        <v>427</v>
      </c>
      <c r="L7" s="232" t="s">
        <v>427</v>
      </c>
    </row>
    <row r="8" spans="1:14" ht="24">
      <c r="A8" s="176">
        <v>7</v>
      </c>
      <c r="B8" s="113">
        <v>223</v>
      </c>
      <c r="C8" s="113" t="s">
        <v>333</v>
      </c>
      <c r="D8" s="114"/>
      <c r="E8" s="139" t="s">
        <v>334</v>
      </c>
      <c r="F8" s="139" t="s">
        <v>371</v>
      </c>
      <c r="G8" s="135"/>
      <c r="H8" s="116"/>
      <c r="I8" s="171" t="s">
        <v>17</v>
      </c>
      <c r="J8" s="118"/>
      <c r="K8" s="164" t="s">
        <v>291</v>
      </c>
      <c r="L8" s="164" t="s">
        <v>291</v>
      </c>
    </row>
    <row r="9" spans="1:14" ht="108">
      <c r="A9" s="176">
        <v>8</v>
      </c>
      <c r="B9" s="33">
        <v>232</v>
      </c>
      <c r="C9" s="33" t="s">
        <v>106</v>
      </c>
      <c r="D9" s="93" t="s">
        <v>191</v>
      </c>
      <c r="E9" s="175" t="s">
        <v>190</v>
      </c>
      <c r="F9" s="59" t="s">
        <v>143</v>
      </c>
      <c r="G9" s="134" t="s">
        <v>306</v>
      </c>
      <c r="H9" s="100" t="s">
        <v>397</v>
      </c>
      <c r="I9" s="33" t="s">
        <v>14</v>
      </c>
      <c r="J9" s="94" t="s">
        <v>251</v>
      </c>
      <c r="K9" s="231" t="s">
        <v>436</v>
      </c>
      <c r="L9" s="231" t="s">
        <v>437</v>
      </c>
    </row>
    <row r="10" spans="1:14" ht="120">
      <c r="A10" s="176">
        <v>9</v>
      </c>
      <c r="B10" s="101">
        <v>237</v>
      </c>
      <c r="C10" s="101" t="s">
        <v>107</v>
      </c>
      <c r="D10" s="114" t="s">
        <v>192</v>
      </c>
      <c r="E10" s="115" t="s">
        <v>46</v>
      </c>
      <c r="F10" s="115" t="s">
        <v>144</v>
      </c>
      <c r="G10" s="136"/>
      <c r="H10" s="120"/>
      <c r="I10" s="171" t="s">
        <v>15</v>
      </c>
      <c r="J10" s="118"/>
      <c r="K10" s="164" t="s">
        <v>249</v>
      </c>
      <c r="L10" s="164" t="s">
        <v>249</v>
      </c>
    </row>
    <row r="11" spans="1:14" ht="216">
      <c r="A11" s="176">
        <v>10</v>
      </c>
      <c r="B11" s="86">
        <v>239</v>
      </c>
      <c r="C11" s="86" t="s">
        <v>108</v>
      </c>
      <c r="D11" s="89" t="s">
        <v>193</v>
      </c>
      <c r="E11" s="174" t="s">
        <v>47</v>
      </c>
      <c r="F11" s="59" t="s">
        <v>146</v>
      </c>
      <c r="G11" s="134" t="s">
        <v>271</v>
      </c>
      <c r="H11" s="99"/>
      <c r="I11" s="86" t="s">
        <v>14</v>
      </c>
      <c r="J11" s="94" t="s">
        <v>251</v>
      </c>
      <c r="K11" s="233" t="s">
        <v>438</v>
      </c>
      <c r="L11" s="233" t="s">
        <v>438</v>
      </c>
    </row>
    <row r="12" spans="1:14" ht="120">
      <c r="A12" s="176">
        <v>11</v>
      </c>
      <c r="B12" s="86">
        <v>240</v>
      </c>
      <c r="C12" s="86" t="s">
        <v>333</v>
      </c>
      <c r="D12" s="89" t="s">
        <v>378</v>
      </c>
      <c r="E12" s="174" t="s">
        <v>195</v>
      </c>
      <c r="F12" s="87" t="s">
        <v>147</v>
      </c>
      <c r="G12" s="137" t="s">
        <v>273</v>
      </c>
      <c r="H12" s="100" t="s">
        <v>374</v>
      </c>
      <c r="I12" s="86" t="s">
        <v>14</v>
      </c>
      <c r="J12" s="94" t="s">
        <v>251</v>
      </c>
      <c r="K12" s="233" t="s">
        <v>439</v>
      </c>
      <c r="L12" s="233" t="s">
        <v>439</v>
      </c>
    </row>
    <row r="13" spans="1:14" ht="84">
      <c r="A13" s="176">
        <v>12</v>
      </c>
      <c r="B13" s="86">
        <v>249</v>
      </c>
      <c r="C13" s="86" t="s">
        <v>333</v>
      </c>
      <c r="D13" s="89" t="s">
        <v>196</v>
      </c>
      <c r="E13" s="174" t="s">
        <v>49</v>
      </c>
      <c r="F13" s="87" t="s">
        <v>119</v>
      </c>
      <c r="G13" s="134" t="s">
        <v>274</v>
      </c>
      <c r="H13" s="99"/>
      <c r="I13" s="86" t="s">
        <v>17</v>
      </c>
      <c r="J13" s="94" t="s">
        <v>251</v>
      </c>
      <c r="K13" s="232" t="s">
        <v>440</v>
      </c>
      <c r="L13" s="232" t="s">
        <v>440</v>
      </c>
    </row>
    <row r="14" spans="1:14" ht="48">
      <c r="A14" s="176">
        <v>13</v>
      </c>
      <c r="B14" s="33">
        <v>258</v>
      </c>
      <c r="C14" s="33" t="s">
        <v>335</v>
      </c>
      <c r="D14" s="93" t="s">
        <v>197</v>
      </c>
      <c r="E14" s="175" t="s">
        <v>50</v>
      </c>
      <c r="F14" s="59" t="s">
        <v>120</v>
      </c>
      <c r="G14" s="134" t="s">
        <v>275</v>
      </c>
      <c r="H14" s="99"/>
      <c r="I14" s="33" t="s">
        <v>16</v>
      </c>
      <c r="J14" s="94" t="s">
        <v>252</v>
      </c>
      <c r="K14" s="232" t="s">
        <v>441</v>
      </c>
      <c r="L14" s="162" t="s">
        <v>38</v>
      </c>
    </row>
    <row r="15" spans="1:14" ht="132">
      <c r="A15" s="176">
        <v>14</v>
      </c>
      <c r="B15" s="86">
        <v>273</v>
      </c>
      <c r="C15" s="86" t="s">
        <v>108</v>
      </c>
      <c r="D15" s="89" t="s">
        <v>198</v>
      </c>
      <c r="E15" s="174" t="s">
        <v>386</v>
      </c>
      <c r="F15" s="174" t="s">
        <v>380</v>
      </c>
      <c r="G15" s="134" t="s">
        <v>277</v>
      </c>
      <c r="H15" s="100" t="s">
        <v>253</v>
      </c>
      <c r="I15" s="86" t="s">
        <v>14</v>
      </c>
      <c r="J15" s="94" t="s">
        <v>251</v>
      </c>
      <c r="K15" s="232" t="s">
        <v>442</v>
      </c>
      <c r="L15" s="232" t="s">
        <v>442</v>
      </c>
    </row>
    <row r="16" spans="1:14" ht="108">
      <c r="A16" s="176">
        <v>15</v>
      </c>
      <c r="B16" s="86">
        <v>274</v>
      </c>
      <c r="C16" s="86" t="s">
        <v>336</v>
      </c>
      <c r="D16" s="89" t="s">
        <v>199</v>
      </c>
      <c r="E16" s="174" t="s">
        <v>387</v>
      </c>
      <c r="F16" s="87" t="s">
        <v>150</v>
      </c>
      <c r="G16" s="134" t="s">
        <v>278</v>
      </c>
      <c r="H16" s="100" t="s">
        <v>288</v>
      </c>
      <c r="I16" s="86" t="s">
        <v>17</v>
      </c>
      <c r="J16" s="94" t="s">
        <v>251</v>
      </c>
      <c r="K16" s="232" t="s">
        <v>443</v>
      </c>
      <c r="L16" s="232" t="s">
        <v>443</v>
      </c>
    </row>
    <row r="17" spans="1:12" ht="84">
      <c r="A17" s="176">
        <v>16</v>
      </c>
      <c r="B17" s="86">
        <v>281</v>
      </c>
      <c r="C17" s="86" t="s">
        <v>338</v>
      </c>
      <c r="D17" s="89" t="s">
        <v>200</v>
      </c>
      <c r="E17" s="174" t="s">
        <v>388</v>
      </c>
      <c r="F17" s="87" t="s">
        <v>151</v>
      </c>
      <c r="G17" s="134"/>
      <c r="H17" s="100" t="s">
        <v>289</v>
      </c>
      <c r="I17" s="86" t="s">
        <v>17</v>
      </c>
      <c r="J17" s="94" t="s">
        <v>251</v>
      </c>
      <c r="K17" s="234" t="s">
        <v>38</v>
      </c>
      <c r="L17" s="234" t="s">
        <v>38</v>
      </c>
    </row>
    <row r="18" spans="1:12" ht="96">
      <c r="A18" s="176">
        <v>17</v>
      </c>
      <c r="B18" s="113">
        <v>296</v>
      </c>
      <c r="C18" s="113" t="s">
        <v>337</v>
      </c>
      <c r="D18" s="114" t="s">
        <v>201</v>
      </c>
      <c r="E18" s="115" t="s">
        <v>385</v>
      </c>
      <c r="F18" s="115" t="s">
        <v>258</v>
      </c>
      <c r="G18" s="135"/>
      <c r="H18" s="116"/>
      <c r="I18" s="171" t="s">
        <v>17</v>
      </c>
      <c r="J18" s="118"/>
      <c r="K18" s="164" t="s">
        <v>38</v>
      </c>
      <c r="L18" s="164" t="s">
        <v>38</v>
      </c>
    </row>
    <row r="19" spans="1:12" ht="132">
      <c r="A19" s="176">
        <v>18</v>
      </c>
      <c r="B19" s="86">
        <v>299</v>
      </c>
      <c r="C19" s="86" t="s">
        <v>108</v>
      </c>
      <c r="D19" s="89" t="s">
        <v>202</v>
      </c>
      <c r="E19" s="174" t="s">
        <v>389</v>
      </c>
      <c r="F19" s="174" t="s">
        <v>379</v>
      </c>
      <c r="G19" s="138" t="s">
        <v>280</v>
      </c>
      <c r="H19" s="100" t="s">
        <v>253</v>
      </c>
      <c r="I19" s="86" t="s">
        <v>14</v>
      </c>
      <c r="J19" s="94" t="s">
        <v>251</v>
      </c>
      <c r="K19" s="232" t="s">
        <v>444</v>
      </c>
      <c r="L19" s="232" t="s">
        <v>444</v>
      </c>
    </row>
    <row r="20" spans="1:12" ht="118.5" customHeight="1">
      <c r="A20" s="176">
        <v>19</v>
      </c>
      <c r="B20" s="86">
        <v>300</v>
      </c>
      <c r="C20" s="86" t="s">
        <v>336</v>
      </c>
      <c r="D20" s="93" t="s">
        <v>203</v>
      </c>
      <c r="E20" s="174" t="s">
        <v>390</v>
      </c>
      <c r="F20" s="87" t="s">
        <v>152</v>
      </c>
      <c r="G20" s="138" t="s">
        <v>281</v>
      </c>
      <c r="H20" s="100" t="s">
        <v>263</v>
      </c>
      <c r="I20" s="86" t="s">
        <v>17</v>
      </c>
      <c r="J20" s="94" t="s">
        <v>251</v>
      </c>
      <c r="K20" s="232" t="s">
        <v>445</v>
      </c>
      <c r="L20" s="232" t="s">
        <v>445</v>
      </c>
    </row>
    <row r="21" spans="1:12" ht="48">
      <c r="A21" s="176">
        <v>20</v>
      </c>
      <c r="B21" s="86">
        <v>307</v>
      </c>
      <c r="C21" s="86" t="s">
        <v>338</v>
      </c>
      <c r="D21" s="89" t="s">
        <v>204</v>
      </c>
      <c r="E21" s="174" t="s">
        <v>391</v>
      </c>
      <c r="F21" s="87" t="s">
        <v>153</v>
      </c>
      <c r="G21" s="134"/>
      <c r="H21" s="100" t="s">
        <v>263</v>
      </c>
      <c r="I21" s="86" t="s">
        <v>17</v>
      </c>
      <c r="J21" s="94" t="s">
        <v>251</v>
      </c>
      <c r="K21" s="234" t="s">
        <v>38</v>
      </c>
      <c r="L21" s="234" t="s">
        <v>38</v>
      </c>
    </row>
    <row r="22" spans="1:12" ht="120">
      <c r="A22" s="176">
        <v>21</v>
      </c>
      <c r="B22" s="113">
        <v>322</v>
      </c>
      <c r="C22" s="113">
        <v>9</v>
      </c>
      <c r="D22" s="102" t="s">
        <v>233</v>
      </c>
      <c r="E22" s="115" t="s">
        <v>86</v>
      </c>
      <c r="F22" s="115" t="s">
        <v>141</v>
      </c>
      <c r="G22" s="109"/>
      <c r="H22" s="104"/>
      <c r="I22" s="171" t="s">
        <v>15</v>
      </c>
      <c r="J22" s="108"/>
      <c r="K22" s="170" t="s">
        <v>249</v>
      </c>
      <c r="L22" s="105" t="s">
        <v>249</v>
      </c>
    </row>
    <row r="23" spans="1:12" ht="174" customHeight="1">
      <c r="A23" s="176">
        <v>22</v>
      </c>
      <c r="B23" s="86">
        <v>323</v>
      </c>
      <c r="C23" s="86" t="s">
        <v>19</v>
      </c>
      <c r="D23" s="75" t="s">
        <v>205</v>
      </c>
      <c r="E23" s="174" t="s">
        <v>51</v>
      </c>
      <c r="F23" s="87" t="s">
        <v>122</v>
      </c>
      <c r="G23" s="82" t="s">
        <v>282</v>
      </c>
      <c r="H23" s="78"/>
      <c r="I23" s="86" t="s">
        <v>17</v>
      </c>
      <c r="J23" s="95" t="s">
        <v>251</v>
      </c>
      <c r="K23" s="160" t="s">
        <v>446</v>
      </c>
      <c r="L23" s="160" t="s">
        <v>446</v>
      </c>
    </row>
    <row r="24" spans="1:12" ht="154.5" customHeight="1">
      <c r="A24" s="176">
        <v>23</v>
      </c>
      <c r="B24" s="86">
        <v>353</v>
      </c>
      <c r="C24" s="86" t="s">
        <v>19</v>
      </c>
      <c r="D24" s="75" t="s">
        <v>205</v>
      </c>
      <c r="E24" s="174" t="s">
        <v>52</v>
      </c>
      <c r="F24" s="87" t="s">
        <v>122</v>
      </c>
      <c r="G24" s="77" t="s">
        <v>283</v>
      </c>
      <c r="H24" s="78"/>
      <c r="I24" s="86" t="s">
        <v>17</v>
      </c>
      <c r="J24" s="95" t="s">
        <v>251</v>
      </c>
      <c r="K24" s="160" t="s">
        <v>446</v>
      </c>
      <c r="L24" s="160" t="s">
        <v>446</v>
      </c>
    </row>
    <row r="25" spans="1:12" ht="151.5" customHeight="1">
      <c r="A25" s="176">
        <v>24</v>
      </c>
      <c r="B25" s="86">
        <v>383</v>
      </c>
      <c r="C25" s="86" t="s">
        <v>19</v>
      </c>
      <c r="D25" s="75" t="s">
        <v>205</v>
      </c>
      <c r="E25" s="174" t="s">
        <v>53</v>
      </c>
      <c r="F25" s="87" t="s">
        <v>122</v>
      </c>
      <c r="G25" s="77" t="s">
        <v>284</v>
      </c>
      <c r="H25" s="78"/>
      <c r="I25" s="86" t="s">
        <v>17</v>
      </c>
      <c r="J25" s="95" t="s">
        <v>251</v>
      </c>
      <c r="K25" s="160" t="s">
        <v>446</v>
      </c>
      <c r="L25" s="160" t="s">
        <v>446</v>
      </c>
    </row>
    <row r="26" spans="1:12" ht="103.5" customHeight="1">
      <c r="A26" s="176">
        <v>25</v>
      </c>
      <c r="B26" s="86">
        <v>413</v>
      </c>
      <c r="C26" s="86" t="s">
        <v>19</v>
      </c>
      <c r="D26" s="75" t="s">
        <v>205</v>
      </c>
      <c r="E26" s="174" t="s">
        <v>54</v>
      </c>
      <c r="F26" s="87" t="s">
        <v>122</v>
      </c>
      <c r="G26" s="77" t="s">
        <v>285</v>
      </c>
      <c r="H26" s="78"/>
      <c r="I26" s="86" t="s">
        <v>17</v>
      </c>
      <c r="J26" s="95" t="s">
        <v>251</v>
      </c>
      <c r="K26" s="160" t="s">
        <v>446</v>
      </c>
      <c r="L26" s="160" t="s">
        <v>446</v>
      </c>
    </row>
    <row r="27" spans="1:12" ht="210" customHeight="1">
      <c r="A27" s="176">
        <v>26</v>
      </c>
      <c r="B27" s="86">
        <v>443</v>
      </c>
      <c r="C27" s="86" t="s">
        <v>19</v>
      </c>
      <c r="D27" s="75" t="s">
        <v>205</v>
      </c>
      <c r="E27" s="174" t="s">
        <v>55</v>
      </c>
      <c r="F27" s="87" t="s">
        <v>122</v>
      </c>
      <c r="G27" s="77" t="s">
        <v>286</v>
      </c>
      <c r="H27" s="78"/>
      <c r="I27" s="86" t="s">
        <v>17</v>
      </c>
      <c r="J27" s="95" t="s">
        <v>251</v>
      </c>
      <c r="K27" s="160" t="s">
        <v>446</v>
      </c>
      <c r="L27" s="160" t="s">
        <v>446</v>
      </c>
    </row>
    <row r="28" spans="1:12" ht="104.25" customHeight="1">
      <c r="A28" s="176">
        <v>27</v>
      </c>
      <c r="B28" s="86">
        <v>473</v>
      </c>
      <c r="C28" s="86" t="s">
        <v>19</v>
      </c>
      <c r="D28" s="75" t="s">
        <v>205</v>
      </c>
      <c r="E28" s="174" t="s">
        <v>56</v>
      </c>
      <c r="F28" s="87" t="s">
        <v>122</v>
      </c>
      <c r="G28" s="77" t="s">
        <v>287</v>
      </c>
      <c r="H28" s="78"/>
      <c r="I28" s="86" t="s">
        <v>17</v>
      </c>
      <c r="J28" s="95" t="s">
        <v>251</v>
      </c>
      <c r="K28" s="160" t="s">
        <v>446</v>
      </c>
      <c r="L28" s="160" t="s">
        <v>446</v>
      </c>
    </row>
    <row r="29" spans="1:12" ht="264" customHeight="1">
      <c r="A29" s="176">
        <v>28</v>
      </c>
      <c r="B29" s="86">
        <v>503</v>
      </c>
      <c r="C29" s="86" t="s">
        <v>109</v>
      </c>
      <c r="D29" s="75" t="s">
        <v>206</v>
      </c>
      <c r="E29" s="174" t="s">
        <v>57</v>
      </c>
      <c r="F29" s="87" t="s">
        <v>137</v>
      </c>
      <c r="G29" s="77"/>
      <c r="H29" s="11" t="s">
        <v>254</v>
      </c>
      <c r="I29" s="86" t="s">
        <v>14</v>
      </c>
      <c r="J29" s="95" t="s">
        <v>251</v>
      </c>
      <c r="K29" s="235" t="s">
        <v>428</v>
      </c>
      <c r="L29" s="235" t="s">
        <v>429</v>
      </c>
    </row>
    <row r="30" spans="1:12" ht="47.25" customHeight="1">
      <c r="A30" s="176">
        <v>29</v>
      </c>
      <c r="B30" s="86">
        <v>527</v>
      </c>
      <c r="C30" s="86" t="s">
        <v>110</v>
      </c>
      <c r="D30" s="75" t="s">
        <v>290</v>
      </c>
      <c r="E30" s="174" t="s">
        <v>339</v>
      </c>
      <c r="F30" s="87" t="s">
        <v>207</v>
      </c>
      <c r="G30" s="79"/>
      <c r="H30" s="76"/>
      <c r="I30" s="86" t="s">
        <v>17</v>
      </c>
      <c r="J30" s="96" t="s">
        <v>251</v>
      </c>
      <c r="K30" s="140" t="s">
        <v>291</v>
      </c>
      <c r="L30" s="140" t="s">
        <v>291</v>
      </c>
    </row>
    <row r="31" spans="1:12" ht="26.25" customHeight="1">
      <c r="A31" s="176">
        <v>30</v>
      </c>
      <c r="B31" s="86">
        <v>607</v>
      </c>
      <c r="C31" s="86" t="s">
        <v>117</v>
      </c>
      <c r="D31" s="75"/>
      <c r="E31" s="174" t="s">
        <v>62</v>
      </c>
      <c r="F31" s="87" t="s">
        <v>124</v>
      </c>
      <c r="G31" s="79"/>
      <c r="H31" s="76"/>
      <c r="I31" s="86" t="s">
        <v>14</v>
      </c>
      <c r="J31" s="96" t="s">
        <v>251</v>
      </c>
      <c r="K31" s="235" t="s">
        <v>293</v>
      </c>
      <c r="L31" s="235" t="s">
        <v>293</v>
      </c>
    </row>
    <row r="32" spans="1:12" ht="36.75" customHeight="1">
      <c r="A32" s="176">
        <v>31</v>
      </c>
      <c r="B32" s="86">
        <v>616</v>
      </c>
      <c r="C32" s="86" t="s">
        <v>340</v>
      </c>
      <c r="D32" s="75" t="s">
        <v>213</v>
      </c>
      <c r="E32" s="174" t="s">
        <v>63</v>
      </c>
      <c r="F32" s="87" t="s">
        <v>125</v>
      </c>
      <c r="G32" s="79"/>
      <c r="H32" s="76"/>
      <c r="I32" s="86" t="s">
        <v>14</v>
      </c>
      <c r="J32" s="96" t="s">
        <v>251</v>
      </c>
      <c r="K32" s="235" t="s">
        <v>293</v>
      </c>
      <c r="L32" s="235" t="s">
        <v>293</v>
      </c>
    </row>
    <row r="33" spans="1:12" ht="38.25" customHeight="1">
      <c r="A33" s="176">
        <v>32</v>
      </c>
      <c r="B33" s="86">
        <v>625</v>
      </c>
      <c r="C33" s="86" t="s">
        <v>112</v>
      </c>
      <c r="D33" s="75" t="s">
        <v>214</v>
      </c>
      <c r="E33" s="174" t="s">
        <v>64</v>
      </c>
      <c r="F33" s="87" t="s">
        <v>138</v>
      </c>
      <c r="G33" s="79"/>
      <c r="H33" s="76"/>
      <c r="I33" s="86" t="s">
        <v>14</v>
      </c>
      <c r="J33" s="96" t="s">
        <v>251</v>
      </c>
      <c r="K33" s="235" t="s">
        <v>294</v>
      </c>
      <c r="L33" s="235" t="s">
        <v>294</v>
      </c>
    </row>
    <row r="34" spans="1:12" ht="36.75" customHeight="1">
      <c r="A34" s="176">
        <v>33</v>
      </c>
      <c r="B34" s="86">
        <v>628</v>
      </c>
      <c r="C34" s="86" t="s">
        <v>18</v>
      </c>
      <c r="D34" s="75" t="s">
        <v>215</v>
      </c>
      <c r="E34" s="174" t="s">
        <v>65</v>
      </c>
      <c r="F34" s="87" t="s">
        <v>139</v>
      </c>
      <c r="G34" s="79"/>
      <c r="H34" s="76"/>
      <c r="I34" s="86" t="s">
        <v>14</v>
      </c>
      <c r="J34" s="96" t="s">
        <v>251</v>
      </c>
      <c r="K34" s="235" t="s">
        <v>295</v>
      </c>
      <c r="L34" s="235" t="s">
        <v>295</v>
      </c>
    </row>
    <row r="35" spans="1:12" ht="168">
      <c r="A35" s="176">
        <v>34</v>
      </c>
      <c r="B35" s="86">
        <v>632</v>
      </c>
      <c r="C35" s="86" t="s">
        <v>341</v>
      </c>
      <c r="D35" s="75" t="s">
        <v>347</v>
      </c>
      <c r="E35" s="174" t="s">
        <v>66</v>
      </c>
      <c r="F35" s="87" t="s">
        <v>346</v>
      </c>
      <c r="G35" s="79"/>
      <c r="H35" s="2" t="s">
        <v>262</v>
      </c>
      <c r="I35" s="86" t="s">
        <v>17</v>
      </c>
      <c r="J35" s="96" t="s">
        <v>257</v>
      </c>
      <c r="K35" s="172" t="s">
        <v>291</v>
      </c>
      <c r="L35" s="140" t="s">
        <v>291</v>
      </c>
    </row>
    <row r="36" spans="1:12" ht="84">
      <c r="A36" s="176">
        <v>35</v>
      </c>
      <c r="B36" s="113">
        <v>647</v>
      </c>
      <c r="C36" s="113" t="s">
        <v>108</v>
      </c>
      <c r="D36" s="102" t="s">
        <v>216</v>
      </c>
      <c r="E36" s="115" t="s">
        <v>67</v>
      </c>
      <c r="F36" s="122" t="s">
        <v>157</v>
      </c>
      <c r="G36" s="109"/>
      <c r="H36" s="123" t="s">
        <v>253</v>
      </c>
      <c r="I36" s="171" t="s">
        <v>17</v>
      </c>
      <c r="J36" s="108"/>
      <c r="K36" s="170" t="s">
        <v>291</v>
      </c>
      <c r="L36" s="170" t="s">
        <v>291</v>
      </c>
    </row>
    <row r="37" spans="1:12" ht="120">
      <c r="A37" s="176">
        <v>36</v>
      </c>
      <c r="B37" s="113">
        <v>648</v>
      </c>
      <c r="C37" s="113" t="s">
        <v>107</v>
      </c>
      <c r="D37" s="102" t="s">
        <v>217</v>
      </c>
      <c r="E37" s="115" t="s">
        <v>68</v>
      </c>
      <c r="F37" s="115" t="s">
        <v>265</v>
      </c>
      <c r="G37" s="109"/>
      <c r="H37" s="123" t="s">
        <v>264</v>
      </c>
      <c r="I37" s="171" t="s">
        <v>15</v>
      </c>
      <c r="J37" s="108"/>
      <c r="K37" s="164" t="s">
        <v>249</v>
      </c>
      <c r="L37" s="164" t="s">
        <v>249</v>
      </c>
    </row>
    <row r="38" spans="1:12" ht="168">
      <c r="A38" s="176">
        <v>37</v>
      </c>
      <c r="B38" s="86">
        <v>650</v>
      </c>
      <c r="C38" s="88" t="s">
        <v>108</v>
      </c>
      <c r="D38" s="75" t="s">
        <v>218</v>
      </c>
      <c r="E38" s="174" t="s">
        <v>69</v>
      </c>
      <c r="F38" s="87" t="s">
        <v>158</v>
      </c>
      <c r="G38" s="79" t="s">
        <v>297</v>
      </c>
      <c r="H38" s="76"/>
      <c r="I38" s="86" t="s">
        <v>17</v>
      </c>
      <c r="J38" s="96" t="s">
        <v>257</v>
      </c>
      <c r="K38" s="172" t="s">
        <v>38</v>
      </c>
      <c r="L38" s="236" t="s">
        <v>447</v>
      </c>
    </row>
    <row r="39" spans="1:12" ht="84">
      <c r="A39" s="176">
        <v>38</v>
      </c>
      <c r="B39" s="86">
        <v>651</v>
      </c>
      <c r="C39" s="86" t="s">
        <v>333</v>
      </c>
      <c r="D39" s="75" t="s">
        <v>219</v>
      </c>
      <c r="E39" s="174" t="s">
        <v>70</v>
      </c>
      <c r="F39" s="87" t="s">
        <v>159</v>
      </c>
      <c r="G39" s="79" t="s">
        <v>314</v>
      </c>
      <c r="H39" s="76"/>
      <c r="I39" s="86" t="s">
        <v>17</v>
      </c>
      <c r="J39" s="96" t="s">
        <v>251</v>
      </c>
      <c r="K39" s="140" t="s">
        <v>448</v>
      </c>
      <c r="L39" s="140" t="s">
        <v>448</v>
      </c>
    </row>
    <row r="40" spans="1:12" ht="288">
      <c r="A40" s="176">
        <v>39</v>
      </c>
      <c r="B40" s="86">
        <v>660</v>
      </c>
      <c r="C40" s="88" t="s">
        <v>108</v>
      </c>
      <c r="D40" s="75" t="s">
        <v>220</v>
      </c>
      <c r="E40" s="174" t="s">
        <v>71</v>
      </c>
      <c r="F40" s="87" t="s">
        <v>160</v>
      </c>
      <c r="G40" s="79" t="s">
        <v>296</v>
      </c>
      <c r="H40" s="76"/>
      <c r="I40" s="86" t="s">
        <v>17</v>
      </c>
      <c r="J40" s="96" t="s">
        <v>257</v>
      </c>
      <c r="K40" s="172" t="s">
        <v>38</v>
      </c>
      <c r="L40" s="236" t="s">
        <v>449</v>
      </c>
    </row>
    <row r="41" spans="1:12" ht="302.25" customHeight="1">
      <c r="A41" s="176">
        <v>40</v>
      </c>
      <c r="B41" s="86">
        <v>661</v>
      </c>
      <c r="C41" s="86" t="s">
        <v>108</v>
      </c>
      <c r="D41" s="75" t="s">
        <v>221</v>
      </c>
      <c r="E41" s="174" t="s">
        <v>72</v>
      </c>
      <c r="F41" s="87" t="s">
        <v>140</v>
      </c>
      <c r="G41" s="79"/>
      <c r="H41" s="76"/>
      <c r="I41" s="86" t="s">
        <v>17</v>
      </c>
      <c r="J41" s="96" t="s">
        <v>257</v>
      </c>
      <c r="K41" s="172" t="s">
        <v>38</v>
      </c>
      <c r="L41" s="140" t="s">
        <v>38</v>
      </c>
    </row>
    <row r="42" spans="1:12" ht="59.25" customHeight="1">
      <c r="A42" s="176">
        <v>41</v>
      </c>
      <c r="B42" s="86">
        <v>662</v>
      </c>
      <c r="C42" s="86" t="s">
        <v>108</v>
      </c>
      <c r="D42" s="75" t="s">
        <v>222</v>
      </c>
      <c r="E42" s="174" t="s">
        <v>73</v>
      </c>
      <c r="F42" s="87" t="s">
        <v>161</v>
      </c>
      <c r="G42" s="79"/>
      <c r="H42" s="76"/>
      <c r="I42" s="86" t="s">
        <v>17</v>
      </c>
      <c r="J42" s="96" t="s">
        <v>257</v>
      </c>
      <c r="K42" s="172" t="s">
        <v>38</v>
      </c>
      <c r="L42" s="140" t="s">
        <v>38</v>
      </c>
    </row>
    <row r="43" spans="1:12" ht="162.75" customHeight="1">
      <c r="A43" s="176">
        <v>42</v>
      </c>
      <c r="B43" s="86">
        <v>663</v>
      </c>
      <c r="C43" s="86" t="s">
        <v>108</v>
      </c>
      <c r="D43" s="75" t="s">
        <v>223</v>
      </c>
      <c r="E43" s="174" t="s">
        <v>74</v>
      </c>
      <c r="F43" s="87" t="s">
        <v>162</v>
      </c>
      <c r="G43" s="79" t="s">
        <v>298</v>
      </c>
      <c r="H43" s="76"/>
      <c r="I43" s="86" t="s">
        <v>17</v>
      </c>
      <c r="J43" s="96" t="s">
        <v>257</v>
      </c>
      <c r="K43" s="172" t="s">
        <v>38</v>
      </c>
      <c r="L43" s="236" t="s">
        <v>38</v>
      </c>
    </row>
    <row r="44" spans="1:12" ht="122.25" customHeight="1">
      <c r="A44" s="176">
        <v>43</v>
      </c>
      <c r="B44" s="86">
        <v>664</v>
      </c>
      <c r="C44" s="86">
        <v>9</v>
      </c>
      <c r="D44" s="75" t="s">
        <v>224</v>
      </c>
      <c r="E44" s="174" t="s">
        <v>76</v>
      </c>
      <c r="F44" s="87" t="s">
        <v>126</v>
      </c>
      <c r="G44" s="79"/>
      <c r="H44" s="76"/>
      <c r="I44" s="86" t="s">
        <v>17</v>
      </c>
      <c r="J44" s="96" t="s">
        <v>251</v>
      </c>
      <c r="K44" s="232" t="s">
        <v>450</v>
      </c>
      <c r="L44" s="232" t="s">
        <v>450</v>
      </c>
    </row>
    <row r="45" spans="1:12" ht="84">
      <c r="A45" s="176">
        <v>44</v>
      </c>
      <c r="B45" s="86">
        <v>665</v>
      </c>
      <c r="C45" s="86" t="s">
        <v>106</v>
      </c>
      <c r="D45" s="75" t="s">
        <v>191</v>
      </c>
      <c r="E45" s="174" t="s">
        <v>77</v>
      </c>
      <c r="F45" s="87" t="s">
        <v>127</v>
      </c>
      <c r="G45" s="79"/>
      <c r="H45" s="76"/>
      <c r="I45" s="86" t="s">
        <v>17</v>
      </c>
      <c r="J45" s="96" t="s">
        <v>251</v>
      </c>
      <c r="K45" s="232" t="s">
        <v>451</v>
      </c>
      <c r="L45" s="232" t="s">
        <v>451</v>
      </c>
    </row>
    <row r="46" spans="1:12" ht="153.75" customHeight="1">
      <c r="A46" s="176">
        <v>45</v>
      </c>
      <c r="B46" s="86">
        <v>670</v>
      </c>
      <c r="C46" s="86" t="s">
        <v>108</v>
      </c>
      <c r="D46" s="75" t="s">
        <v>225</v>
      </c>
      <c r="E46" s="174" t="s">
        <v>79</v>
      </c>
      <c r="F46" s="87" t="s">
        <v>163</v>
      </c>
      <c r="G46" s="79"/>
      <c r="H46" s="76"/>
      <c r="I46" s="86" t="s">
        <v>17</v>
      </c>
      <c r="J46" s="96" t="s">
        <v>257</v>
      </c>
      <c r="K46" s="172" t="s">
        <v>38</v>
      </c>
      <c r="L46" s="235" t="s">
        <v>452</v>
      </c>
    </row>
    <row r="47" spans="1:12" ht="192">
      <c r="A47" s="176">
        <v>46</v>
      </c>
      <c r="B47" s="86">
        <v>671</v>
      </c>
      <c r="C47" s="86" t="s">
        <v>108</v>
      </c>
      <c r="D47" s="75" t="s">
        <v>226</v>
      </c>
      <c r="E47" s="174" t="s">
        <v>80</v>
      </c>
      <c r="F47" s="87" t="s">
        <v>165</v>
      </c>
      <c r="G47" s="79"/>
      <c r="H47" s="76"/>
      <c r="I47" s="86" t="s">
        <v>17</v>
      </c>
      <c r="J47" s="96" t="s">
        <v>257</v>
      </c>
      <c r="K47" s="172" t="s">
        <v>38</v>
      </c>
      <c r="L47" s="140" t="s">
        <v>38</v>
      </c>
    </row>
    <row r="48" spans="1:12" ht="216">
      <c r="A48" s="176">
        <v>47</v>
      </c>
      <c r="B48" s="86">
        <v>672</v>
      </c>
      <c r="C48" s="86" t="s">
        <v>108</v>
      </c>
      <c r="D48" s="75" t="s">
        <v>227</v>
      </c>
      <c r="E48" s="174" t="s">
        <v>81</v>
      </c>
      <c r="F48" s="87" t="s">
        <v>164</v>
      </c>
      <c r="G48" s="79"/>
      <c r="H48" s="76"/>
      <c r="I48" s="86" t="s">
        <v>17</v>
      </c>
      <c r="J48" s="96" t="s">
        <v>257</v>
      </c>
      <c r="K48" s="172" t="s">
        <v>38</v>
      </c>
      <c r="L48" s="140" t="s">
        <v>38</v>
      </c>
    </row>
    <row r="49" spans="1:12" ht="168">
      <c r="A49" s="176">
        <v>48</v>
      </c>
      <c r="B49" s="86">
        <v>673</v>
      </c>
      <c r="C49" s="86" t="s">
        <v>108</v>
      </c>
      <c r="D49" s="75" t="s">
        <v>228</v>
      </c>
      <c r="E49" s="174" t="s">
        <v>82</v>
      </c>
      <c r="F49" s="87" t="s">
        <v>166</v>
      </c>
      <c r="G49" s="79"/>
      <c r="H49" s="76"/>
      <c r="I49" s="86" t="s">
        <v>17</v>
      </c>
      <c r="J49" s="96" t="s">
        <v>257</v>
      </c>
      <c r="K49" s="172" t="s">
        <v>38</v>
      </c>
      <c r="L49" s="140" t="s">
        <v>38</v>
      </c>
    </row>
    <row r="50" spans="1:12" ht="216">
      <c r="A50" s="176">
        <v>49</v>
      </c>
      <c r="B50" s="86">
        <v>674</v>
      </c>
      <c r="C50" s="86" t="s">
        <v>108</v>
      </c>
      <c r="D50" s="75" t="s">
        <v>229</v>
      </c>
      <c r="E50" s="174" t="s">
        <v>83</v>
      </c>
      <c r="F50" s="87" t="s">
        <v>170</v>
      </c>
      <c r="G50" s="79"/>
      <c r="H50" s="76"/>
      <c r="I50" s="86" t="s">
        <v>17</v>
      </c>
      <c r="J50" s="96" t="s">
        <v>257</v>
      </c>
      <c r="K50" s="172" t="s">
        <v>38</v>
      </c>
      <c r="L50" s="140" t="s">
        <v>38</v>
      </c>
    </row>
    <row r="51" spans="1:12" ht="189.75" customHeight="1">
      <c r="A51" s="176">
        <v>50</v>
      </c>
      <c r="B51" s="86">
        <v>675</v>
      </c>
      <c r="C51" s="86" t="s">
        <v>108</v>
      </c>
      <c r="D51" s="75" t="s">
        <v>230</v>
      </c>
      <c r="E51" s="174" t="s">
        <v>84</v>
      </c>
      <c r="F51" s="87" t="s">
        <v>167</v>
      </c>
      <c r="G51" s="79"/>
      <c r="H51" s="76"/>
      <c r="I51" s="86" t="s">
        <v>17</v>
      </c>
      <c r="J51" s="96" t="s">
        <v>257</v>
      </c>
      <c r="K51" s="172" t="s">
        <v>38</v>
      </c>
      <c r="L51" s="140" t="s">
        <v>446</v>
      </c>
    </row>
    <row r="52" spans="1:12" ht="114.75" customHeight="1">
      <c r="A52" s="176">
        <v>51</v>
      </c>
      <c r="B52" s="101">
        <v>676</v>
      </c>
      <c r="C52" s="113" t="s">
        <v>108</v>
      </c>
      <c r="D52" s="102" t="s">
        <v>231</v>
      </c>
      <c r="E52" s="115" t="s">
        <v>104</v>
      </c>
      <c r="F52" s="122" t="s">
        <v>168</v>
      </c>
      <c r="G52" s="109"/>
      <c r="H52" s="104"/>
      <c r="I52" s="33" t="s">
        <v>17</v>
      </c>
      <c r="J52" s="108"/>
      <c r="K52" s="104"/>
      <c r="L52" s="105"/>
    </row>
    <row r="53" spans="1:12" ht="72">
      <c r="A53" s="176">
        <v>52</v>
      </c>
      <c r="B53" s="86">
        <v>677</v>
      </c>
      <c r="C53" s="86" t="s">
        <v>108</v>
      </c>
      <c r="D53" s="75" t="s">
        <v>232</v>
      </c>
      <c r="E53" s="174" t="s">
        <v>85</v>
      </c>
      <c r="F53" s="87" t="s">
        <v>169</v>
      </c>
      <c r="G53" s="79"/>
      <c r="H53" s="76"/>
      <c r="I53" s="86" t="s">
        <v>17</v>
      </c>
      <c r="J53" s="96" t="s">
        <v>257</v>
      </c>
      <c r="K53" s="172" t="s">
        <v>38</v>
      </c>
      <c r="L53" s="140" t="s">
        <v>38</v>
      </c>
    </row>
    <row r="54" spans="1:12" ht="96">
      <c r="A54" s="176">
        <v>53</v>
      </c>
      <c r="B54" s="86">
        <v>678</v>
      </c>
      <c r="C54" s="86" t="s">
        <v>333</v>
      </c>
      <c r="D54" s="75" t="s">
        <v>234</v>
      </c>
      <c r="E54" s="175" t="s">
        <v>87</v>
      </c>
      <c r="F54" s="87" t="s">
        <v>179</v>
      </c>
      <c r="G54" s="79" t="s">
        <v>300</v>
      </c>
      <c r="H54" s="2" t="s">
        <v>180</v>
      </c>
      <c r="I54" s="86" t="s">
        <v>17</v>
      </c>
      <c r="J54" s="96" t="s">
        <v>251</v>
      </c>
      <c r="K54" s="235" t="s">
        <v>453</v>
      </c>
      <c r="L54" s="235" t="s">
        <v>453</v>
      </c>
    </row>
    <row r="55" spans="1:12" ht="48">
      <c r="A55" s="176">
        <v>54</v>
      </c>
      <c r="B55" s="86">
        <v>687</v>
      </c>
      <c r="C55" s="86" t="s">
        <v>113</v>
      </c>
      <c r="D55" s="75" t="s">
        <v>235</v>
      </c>
      <c r="E55" s="174" t="s">
        <v>88</v>
      </c>
      <c r="F55" s="87" t="s">
        <v>128</v>
      </c>
      <c r="G55" s="79" t="s">
        <v>301</v>
      </c>
      <c r="H55" s="76"/>
      <c r="I55" s="86" t="s">
        <v>17</v>
      </c>
      <c r="J55" s="96" t="s">
        <v>251</v>
      </c>
      <c r="K55" s="235" t="s">
        <v>454</v>
      </c>
      <c r="L55" s="235" t="s">
        <v>454</v>
      </c>
    </row>
    <row r="56" spans="1:12" ht="94.5" customHeight="1">
      <c r="A56" s="176">
        <v>55</v>
      </c>
      <c r="B56" s="86">
        <v>704</v>
      </c>
      <c r="C56" s="86" t="s">
        <v>108</v>
      </c>
      <c r="D56" s="75" t="s">
        <v>236</v>
      </c>
      <c r="E56" s="174" t="s">
        <v>89</v>
      </c>
      <c r="F56" s="87" t="s">
        <v>171</v>
      </c>
      <c r="G56" s="79" t="s">
        <v>302</v>
      </c>
      <c r="H56" s="76"/>
      <c r="I56" s="86" t="s">
        <v>17</v>
      </c>
      <c r="J56" s="96" t="s">
        <v>251</v>
      </c>
      <c r="K56" s="235" t="s">
        <v>455</v>
      </c>
      <c r="L56" s="235" t="s">
        <v>455</v>
      </c>
    </row>
    <row r="57" spans="1:12" ht="107.25" customHeight="1">
      <c r="A57" s="176">
        <v>56</v>
      </c>
      <c r="B57" s="86">
        <v>705</v>
      </c>
      <c r="C57" s="86" t="s">
        <v>114</v>
      </c>
      <c r="D57" s="75" t="s">
        <v>237</v>
      </c>
      <c r="E57" s="174" t="s">
        <v>90</v>
      </c>
      <c r="F57" s="87" t="s">
        <v>129</v>
      </c>
      <c r="G57" s="125" t="s">
        <v>303</v>
      </c>
      <c r="H57" s="76"/>
      <c r="I57" s="86" t="s">
        <v>17</v>
      </c>
      <c r="J57" s="96" t="s">
        <v>251</v>
      </c>
      <c r="K57" s="237" t="s">
        <v>456</v>
      </c>
      <c r="L57" s="237" t="s">
        <v>456</v>
      </c>
    </row>
    <row r="58" spans="1:12" ht="123.75" customHeight="1">
      <c r="A58" s="176">
        <v>57</v>
      </c>
      <c r="B58" s="86">
        <v>727</v>
      </c>
      <c r="C58" s="86" t="s">
        <v>108</v>
      </c>
      <c r="D58" s="75" t="s">
        <v>238</v>
      </c>
      <c r="E58" s="174" t="s">
        <v>91</v>
      </c>
      <c r="F58" s="87" t="s">
        <v>367</v>
      </c>
      <c r="G58" s="125" t="s">
        <v>304</v>
      </c>
      <c r="H58" s="2" t="s">
        <v>368</v>
      </c>
      <c r="I58" s="86" t="s">
        <v>17</v>
      </c>
      <c r="J58" s="96" t="s">
        <v>251</v>
      </c>
      <c r="K58" s="235" t="s">
        <v>457</v>
      </c>
      <c r="L58" s="235" t="s">
        <v>457</v>
      </c>
    </row>
    <row r="59" spans="1:12" ht="24">
      <c r="A59" s="176">
        <v>58</v>
      </c>
      <c r="B59" s="86">
        <v>728</v>
      </c>
      <c r="C59" s="86" t="s">
        <v>333</v>
      </c>
      <c r="D59" s="75" t="s">
        <v>239</v>
      </c>
      <c r="E59" s="174" t="s">
        <v>92</v>
      </c>
      <c r="F59" s="87" t="s">
        <v>130</v>
      </c>
      <c r="G59" s="79"/>
      <c r="H59" s="76"/>
      <c r="I59" s="86" t="s">
        <v>17</v>
      </c>
      <c r="J59" s="96" t="s">
        <v>251</v>
      </c>
      <c r="K59" s="235" t="s">
        <v>291</v>
      </c>
      <c r="L59" s="235" t="s">
        <v>291</v>
      </c>
    </row>
    <row r="60" spans="1:12" ht="180" customHeight="1">
      <c r="A60" s="176">
        <v>59</v>
      </c>
      <c r="B60" s="86">
        <v>737</v>
      </c>
      <c r="C60" s="86" t="s">
        <v>333</v>
      </c>
      <c r="D60" s="75" t="s">
        <v>240</v>
      </c>
      <c r="E60" s="174" t="s">
        <v>93</v>
      </c>
      <c r="F60" s="87" t="s">
        <v>131</v>
      </c>
      <c r="G60" s="79"/>
      <c r="H60" s="2" t="s">
        <v>323</v>
      </c>
      <c r="I60" s="86" t="s">
        <v>17</v>
      </c>
      <c r="J60" s="96" t="s">
        <v>251</v>
      </c>
      <c r="K60" s="235" t="s">
        <v>458</v>
      </c>
      <c r="L60" s="235" t="s">
        <v>458</v>
      </c>
    </row>
    <row r="61" spans="1:12" ht="225.75" customHeight="1">
      <c r="A61" s="176">
        <v>60</v>
      </c>
      <c r="B61" s="86">
        <v>746</v>
      </c>
      <c r="C61" s="86" t="s">
        <v>108</v>
      </c>
      <c r="D61" s="75" t="s">
        <v>241</v>
      </c>
      <c r="E61" s="175" t="s">
        <v>94</v>
      </c>
      <c r="F61" s="87" t="s">
        <v>172</v>
      </c>
      <c r="G61" s="79"/>
      <c r="H61" s="76"/>
      <c r="I61" s="86" t="s">
        <v>14</v>
      </c>
      <c r="J61" s="96" t="s">
        <v>251</v>
      </c>
      <c r="K61" s="140" t="s">
        <v>382</v>
      </c>
      <c r="L61" s="140" t="s">
        <v>382</v>
      </c>
    </row>
    <row r="62" spans="1:12" ht="156">
      <c r="A62" s="176">
        <v>61</v>
      </c>
      <c r="B62" s="86">
        <v>747</v>
      </c>
      <c r="C62" s="86">
        <v>9</v>
      </c>
      <c r="D62" s="75" t="s">
        <v>242</v>
      </c>
      <c r="E62" s="174" t="s">
        <v>95</v>
      </c>
      <c r="F62" s="87" t="s">
        <v>308</v>
      </c>
      <c r="G62" s="79"/>
      <c r="H62" s="2" t="s">
        <v>309</v>
      </c>
      <c r="I62" s="86" t="s">
        <v>14</v>
      </c>
      <c r="J62" s="96" t="s">
        <v>251</v>
      </c>
      <c r="K62" s="235" t="s">
        <v>459</v>
      </c>
      <c r="L62" s="235" t="s">
        <v>459</v>
      </c>
    </row>
    <row r="63" spans="1:12" ht="202.5" customHeight="1">
      <c r="A63" s="176">
        <v>62</v>
      </c>
      <c r="B63" s="86">
        <v>748</v>
      </c>
      <c r="C63" s="86" t="s">
        <v>108</v>
      </c>
      <c r="D63" s="75" t="s">
        <v>243</v>
      </c>
      <c r="E63" s="174" t="s">
        <v>96</v>
      </c>
      <c r="F63" s="87" t="s">
        <v>173</v>
      </c>
      <c r="G63" s="79"/>
      <c r="H63" s="128"/>
      <c r="I63" s="86" t="s">
        <v>17</v>
      </c>
      <c r="J63" s="96" t="s">
        <v>257</v>
      </c>
      <c r="K63" s="173" t="s">
        <v>291</v>
      </c>
      <c r="L63" s="235" t="s">
        <v>291</v>
      </c>
    </row>
    <row r="64" spans="1:12" ht="12.75" customHeight="1">
      <c r="A64" s="176">
        <v>63</v>
      </c>
      <c r="B64" s="113">
        <v>749</v>
      </c>
      <c r="C64" s="113" t="s">
        <v>116</v>
      </c>
      <c r="D64" s="102"/>
      <c r="E64" s="115" t="s">
        <v>101</v>
      </c>
      <c r="F64" s="115"/>
      <c r="G64" s="109"/>
      <c r="H64" s="104"/>
      <c r="I64" s="171"/>
      <c r="J64" s="108"/>
      <c r="K64" s="104"/>
      <c r="L64" s="130"/>
    </row>
    <row r="65" spans="1:12" ht="48">
      <c r="A65" s="176">
        <v>64</v>
      </c>
      <c r="B65" s="86">
        <v>749</v>
      </c>
      <c r="C65" s="86" t="s">
        <v>342</v>
      </c>
      <c r="D65" s="75"/>
      <c r="E65" s="174" t="s">
        <v>102</v>
      </c>
      <c r="F65" s="87" t="s">
        <v>133</v>
      </c>
      <c r="G65" s="79"/>
      <c r="H65" s="2" t="s">
        <v>313</v>
      </c>
      <c r="I65" s="86" t="s">
        <v>17</v>
      </c>
      <c r="J65" s="96" t="s">
        <v>251</v>
      </c>
      <c r="K65" s="235" t="s">
        <v>291</v>
      </c>
      <c r="L65" s="235" t="s">
        <v>291</v>
      </c>
    </row>
    <row r="66" spans="1:12" ht="48">
      <c r="A66" s="176">
        <v>65</v>
      </c>
      <c r="B66" s="84">
        <v>752</v>
      </c>
      <c r="C66" s="84" t="s">
        <v>340</v>
      </c>
      <c r="D66" s="75"/>
      <c r="E66" s="174" t="s">
        <v>103</v>
      </c>
      <c r="F66" s="87" t="s">
        <v>134</v>
      </c>
      <c r="G66" s="79"/>
      <c r="H66" s="2" t="s">
        <v>313</v>
      </c>
      <c r="I66" s="86" t="s">
        <v>17</v>
      </c>
      <c r="J66" s="96" t="s">
        <v>251</v>
      </c>
      <c r="K66" s="235" t="s">
        <v>291</v>
      </c>
      <c r="L66" s="235" t="s">
        <v>291</v>
      </c>
    </row>
    <row r="67" spans="1:12" ht="120">
      <c r="A67" s="176">
        <v>66</v>
      </c>
      <c r="B67" s="86">
        <v>761</v>
      </c>
      <c r="C67" s="86" t="s">
        <v>108</v>
      </c>
      <c r="D67" s="75" t="s">
        <v>244</v>
      </c>
      <c r="E67" s="174" t="s">
        <v>98</v>
      </c>
      <c r="F67" s="87" t="s">
        <v>174</v>
      </c>
      <c r="G67" s="79"/>
      <c r="H67" s="76"/>
      <c r="I67" s="86" t="s">
        <v>17</v>
      </c>
      <c r="J67" s="96" t="s">
        <v>257</v>
      </c>
      <c r="K67" s="173" t="s">
        <v>291</v>
      </c>
      <c r="L67" s="235" t="s">
        <v>291</v>
      </c>
    </row>
    <row r="68" spans="1:12" ht="24">
      <c r="A68" s="176">
        <v>67</v>
      </c>
      <c r="B68" s="84">
        <v>762</v>
      </c>
      <c r="C68" s="84" t="s">
        <v>348</v>
      </c>
      <c r="D68" s="75" t="s">
        <v>212</v>
      </c>
      <c r="E68" s="174" t="s">
        <v>349</v>
      </c>
      <c r="F68" s="87" t="s">
        <v>353</v>
      </c>
      <c r="G68" s="79"/>
      <c r="H68" s="2"/>
      <c r="I68" s="86" t="s">
        <v>17</v>
      </c>
      <c r="J68" s="96" t="s">
        <v>251</v>
      </c>
      <c r="K68" s="235" t="s">
        <v>291</v>
      </c>
      <c r="L68" s="235" t="s">
        <v>291</v>
      </c>
    </row>
    <row r="69" spans="1:12" ht="48">
      <c r="A69" s="176">
        <v>68</v>
      </c>
      <c r="B69" s="84">
        <v>777</v>
      </c>
      <c r="C69" s="84" t="s">
        <v>350</v>
      </c>
      <c r="D69" s="75" t="s">
        <v>352</v>
      </c>
      <c r="E69" s="174" t="s">
        <v>351</v>
      </c>
      <c r="F69" s="87" t="s">
        <v>355</v>
      </c>
      <c r="G69" s="79"/>
      <c r="H69" s="2" t="s">
        <v>354</v>
      </c>
      <c r="I69" s="86" t="s">
        <v>17</v>
      </c>
      <c r="J69" s="96" t="s">
        <v>251</v>
      </c>
      <c r="K69" s="235" t="s">
        <v>291</v>
      </c>
      <c r="L69" s="235" t="s">
        <v>291</v>
      </c>
    </row>
    <row r="70" spans="1:12">
      <c r="A70" s="176">
        <v>69</v>
      </c>
      <c r="B70" s="113">
        <v>781</v>
      </c>
      <c r="C70" s="113" t="s">
        <v>108</v>
      </c>
      <c r="D70" s="102"/>
      <c r="E70" s="139" t="s">
        <v>356</v>
      </c>
      <c r="F70" s="139" t="s">
        <v>371</v>
      </c>
      <c r="G70" s="109"/>
      <c r="H70" s="104"/>
      <c r="I70" s="163" t="s">
        <v>17</v>
      </c>
      <c r="J70" s="108"/>
      <c r="K70" s="170" t="s">
        <v>291</v>
      </c>
      <c r="L70" s="170" t="s">
        <v>291</v>
      </c>
    </row>
    <row r="71" spans="1:12">
      <c r="A71" s="176">
        <v>70</v>
      </c>
      <c r="B71" s="113">
        <v>782</v>
      </c>
      <c r="C71" s="113" t="s">
        <v>108</v>
      </c>
      <c r="D71" s="102"/>
      <c r="E71" s="139" t="s">
        <v>357</v>
      </c>
      <c r="F71" s="139" t="s">
        <v>371</v>
      </c>
      <c r="G71" s="109"/>
      <c r="H71" s="104"/>
      <c r="I71" s="163" t="s">
        <v>17</v>
      </c>
      <c r="J71" s="108"/>
      <c r="K71" s="170" t="s">
        <v>291</v>
      </c>
      <c r="L71" s="170" t="s">
        <v>291</v>
      </c>
    </row>
    <row r="72" spans="1:12" ht="120">
      <c r="A72" s="176">
        <v>71</v>
      </c>
      <c r="B72" s="113">
        <v>783</v>
      </c>
      <c r="C72" s="113" t="s">
        <v>109</v>
      </c>
      <c r="D72" s="102"/>
      <c r="E72" s="115" t="s">
        <v>58</v>
      </c>
      <c r="F72" s="124" t="s">
        <v>154</v>
      </c>
      <c r="G72" s="105"/>
      <c r="H72" s="111"/>
      <c r="I72" s="171" t="s">
        <v>17</v>
      </c>
      <c r="J72" s="121"/>
      <c r="K72" s="166" t="s">
        <v>38</v>
      </c>
      <c r="L72" s="166" t="s">
        <v>38</v>
      </c>
    </row>
    <row r="73" spans="1:12" ht="120">
      <c r="A73" s="176">
        <v>72</v>
      </c>
      <c r="B73" s="113">
        <v>807</v>
      </c>
      <c r="C73" s="113" t="s">
        <v>109</v>
      </c>
      <c r="D73" s="102"/>
      <c r="E73" s="115" t="s">
        <v>358</v>
      </c>
      <c r="F73" s="124" t="s">
        <v>154</v>
      </c>
      <c r="G73" s="105"/>
      <c r="H73" s="111"/>
      <c r="I73" s="171" t="s">
        <v>17</v>
      </c>
      <c r="J73" s="121"/>
      <c r="K73" s="166" t="s">
        <v>38</v>
      </c>
      <c r="L73" s="166" t="s">
        <v>38</v>
      </c>
    </row>
    <row r="74" spans="1:12" ht="24">
      <c r="A74" s="176">
        <v>73</v>
      </c>
      <c r="B74" s="113">
        <v>831</v>
      </c>
      <c r="C74" s="113" t="s">
        <v>115</v>
      </c>
      <c r="D74" s="102"/>
      <c r="E74" s="155" t="s">
        <v>343</v>
      </c>
      <c r="F74" s="115" t="s">
        <v>132</v>
      </c>
      <c r="G74" s="109"/>
      <c r="H74" s="104"/>
      <c r="I74" s="171" t="s">
        <v>15</v>
      </c>
      <c r="J74" s="108"/>
      <c r="K74" s="170" t="s">
        <v>344</v>
      </c>
      <c r="L74" s="170" t="s">
        <v>344</v>
      </c>
    </row>
    <row r="75" spans="1:12" ht="48">
      <c r="A75" s="176">
        <v>74</v>
      </c>
      <c r="B75" s="113">
        <v>839</v>
      </c>
      <c r="C75" s="113" t="s">
        <v>115</v>
      </c>
      <c r="D75" s="102"/>
      <c r="E75" s="155" t="s">
        <v>99</v>
      </c>
      <c r="F75" s="115" t="s">
        <v>175</v>
      </c>
      <c r="G75" s="109"/>
      <c r="H75" s="104"/>
      <c r="I75" s="171" t="s">
        <v>15</v>
      </c>
      <c r="J75" s="108"/>
      <c r="K75" s="170" t="s">
        <v>345</v>
      </c>
      <c r="L75" s="170" t="s">
        <v>345</v>
      </c>
    </row>
    <row r="76" spans="1:12" ht="240">
      <c r="A76" s="176">
        <v>75</v>
      </c>
      <c r="B76" s="86">
        <v>847</v>
      </c>
      <c r="C76" s="86" t="s">
        <v>111</v>
      </c>
      <c r="D76" s="75" t="s">
        <v>208</v>
      </c>
      <c r="E76" s="174" t="s">
        <v>246</v>
      </c>
      <c r="F76" s="87" t="s">
        <v>247</v>
      </c>
      <c r="G76" s="128" t="s">
        <v>292</v>
      </c>
      <c r="H76" s="79" t="s">
        <v>310</v>
      </c>
      <c r="I76" s="86" t="s">
        <v>17</v>
      </c>
      <c r="J76" s="96" t="s">
        <v>251</v>
      </c>
      <c r="K76" s="215" t="s">
        <v>460</v>
      </c>
      <c r="L76" s="215" t="s">
        <v>460</v>
      </c>
    </row>
    <row r="77" spans="1:12" ht="276">
      <c r="A77" s="176">
        <v>76</v>
      </c>
      <c r="B77" s="86">
        <v>848</v>
      </c>
      <c r="C77" s="86" t="s">
        <v>111</v>
      </c>
      <c r="D77" s="75" t="s">
        <v>208</v>
      </c>
      <c r="E77" s="175" t="s">
        <v>383</v>
      </c>
      <c r="F77" s="87" t="s">
        <v>209</v>
      </c>
      <c r="G77" s="79" t="s">
        <v>292</v>
      </c>
      <c r="H77" s="2" t="s">
        <v>210</v>
      </c>
      <c r="I77" s="86" t="s">
        <v>17</v>
      </c>
      <c r="J77" s="96" t="s">
        <v>251</v>
      </c>
      <c r="K77" s="230" t="s">
        <v>461</v>
      </c>
      <c r="L77" s="230" t="s">
        <v>461</v>
      </c>
    </row>
    <row r="78" spans="1:12" ht="312">
      <c r="A78" s="176">
        <v>77</v>
      </c>
      <c r="B78" s="86">
        <v>849</v>
      </c>
      <c r="C78" s="86" t="s">
        <v>111</v>
      </c>
      <c r="D78" s="75" t="s">
        <v>248</v>
      </c>
      <c r="E78" s="174" t="s">
        <v>384</v>
      </c>
      <c r="F78" s="87" t="s">
        <v>245</v>
      </c>
      <c r="G78" s="79" t="s">
        <v>292</v>
      </c>
      <c r="H78" s="2" t="s">
        <v>311</v>
      </c>
      <c r="I78" s="86" t="s">
        <v>17</v>
      </c>
      <c r="J78" s="96" t="s">
        <v>251</v>
      </c>
      <c r="K78" s="230" t="s">
        <v>462</v>
      </c>
      <c r="L78" s="230" t="s">
        <v>463</v>
      </c>
    </row>
    <row r="79" spans="1:12" ht="204">
      <c r="A79" s="176">
        <v>78</v>
      </c>
      <c r="B79" s="86">
        <v>850</v>
      </c>
      <c r="C79" s="86" t="s">
        <v>111</v>
      </c>
      <c r="D79" s="75" t="s">
        <v>211</v>
      </c>
      <c r="E79" s="175" t="s">
        <v>61</v>
      </c>
      <c r="F79" s="87" t="s">
        <v>260</v>
      </c>
      <c r="G79" s="79"/>
      <c r="H79" s="2" t="s">
        <v>261</v>
      </c>
      <c r="I79" s="86" t="s">
        <v>17</v>
      </c>
      <c r="J79" s="96" t="s">
        <v>251</v>
      </c>
      <c r="K79" s="140" t="s">
        <v>291</v>
      </c>
      <c r="L79" s="140" t="s">
        <v>291</v>
      </c>
    </row>
    <row r="80" spans="1:12">
      <c r="A80" s="176">
        <v>79</v>
      </c>
      <c r="B80" s="113">
        <v>851</v>
      </c>
      <c r="C80" s="113" t="s">
        <v>108</v>
      </c>
      <c r="D80" s="102"/>
      <c r="E80" s="139" t="s">
        <v>359</v>
      </c>
      <c r="F80" s="115" t="s">
        <v>371</v>
      </c>
      <c r="G80" s="109"/>
      <c r="H80" s="123"/>
      <c r="I80" s="157"/>
      <c r="J80" s="108"/>
      <c r="K80" s="168" t="s">
        <v>291</v>
      </c>
      <c r="L80" s="168" t="s">
        <v>291</v>
      </c>
    </row>
    <row r="81" spans="1:12" ht="126.75" customHeight="1">
      <c r="A81" s="176">
        <v>80</v>
      </c>
      <c r="B81" s="113">
        <v>852</v>
      </c>
      <c r="C81" s="113" t="s">
        <v>106</v>
      </c>
      <c r="D81" s="102"/>
      <c r="E81" s="115" t="s">
        <v>59</v>
      </c>
      <c r="F81" s="115" t="s">
        <v>372</v>
      </c>
      <c r="G81" s="105"/>
      <c r="H81" s="111"/>
      <c r="I81" s="168"/>
      <c r="J81" s="121"/>
      <c r="K81" s="168" t="s">
        <v>291</v>
      </c>
      <c r="L81" s="168" t="s">
        <v>291</v>
      </c>
    </row>
    <row r="82" spans="1:12" ht="158.25" customHeight="1">
      <c r="A82" s="176">
        <v>81</v>
      </c>
      <c r="B82" s="113">
        <v>857</v>
      </c>
      <c r="C82" s="113" t="s">
        <v>25</v>
      </c>
      <c r="D82" s="102"/>
      <c r="E82" s="115" t="s">
        <v>60</v>
      </c>
      <c r="F82" s="115" t="s">
        <v>372</v>
      </c>
      <c r="G82" s="158"/>
      <c r="H82" s="111"/>
      <c r="I82" s="171" t="s">
        <v>16</v>
      </c>
      <c r="J82" s="121"/>
      <c r="K82" s="168" t="s">
        <v>291</v>
      </c>
      <c r="L82" s="168" t="s">
        <v>291</v>
      </c>
    </row>
    <row r="83" spans="1:12" ht="158.25" customHeight="1">
      <c r="A83" s="176">
        <v>82</v>
      </c>
      <c r="B83" s="113">
        <v>869</v>
      </c>
      <c r="C83" s="113" t="s">
        <v>18</v>
      </c>
      <c r="D83" s="102"/>
      <c r="E83" s="139" t="s">
        <v>360</v>
      </c>
      <c r="F83" s="115" t="s">
        <v>371</v>
      </c>
      <c r="G83" s="158"/>
      <c r="H83" s="111"/>
      <c r="I83" s="171"/>
      <c r="J83" s="121"/>
      <c r="K83" s="166" t="s">
        <v>291</v>
      </c>
      <c r="L83" s="166" t="s">
        <v>291</v>
      </c>
    </row>
    <row r="84" spans="1:12" ht="168">
      <c r="A84" s="176">
        <v>83</v>
      </c>
      <c r="B84" s="86">
        <v>873</v>
      </c>
      <c r="C84" s="86">
        <v>9</v>
      </c>
      <c r="D84" s="90"/>
      <c r="E84" s="175" t="s">
        <v>44</v>
      </c>
      <c r="F84" s="59" t="s">
        <v>142</v>
      </c>
      <c r="G84" s="134"/>
      <c r="H84" s="99"/>
      <c r="I84" s="86" t="s">
        <v>14</v>
      </c>
      <c r="J84" s="94" t="s">
        <v>251</v>
      </c>
      <c r="K84" s="236" t="s">
        <v>276</v>
      </c>
      <c r="L84" s="236" t="s">
        <v>276</v>
      </c>
    </row>
    <row r="85" spans="1:12" ht="24">
      <c r="A85" s="176">
        <v>84</v>
      </c>
      <c r="B85" s="113">
        <v>874</v>
      </c>
      <c r="C85" s="113" t="s">
        <v>361</v>
      </c>
      <c r="D85" s="114"/>
      <c r="E85" s="115" t="s">
        <v>45</v>
      </c>
      <c r="F85" s="115" t="s">
        <v>118</v>
      </c>
      <c r="G85" s="135"/>
      <c r="H85" s="120"/>
      <c r="I85" s="171" t="s">
        <v>15</v>
      </c>
      <c r="J85" s="118" t="s">
        <v>16</v>
      </c>
      <c r="K85" s="164" t="s">
        <v>249</v>
      </c>
      <c r="L85" s="164" t="s">
        <v>249</v>
      </c>
    </row>
    <row r="86" spans="1:12" ht="130.5" customHeight="1">
      <c r="A86" s="176">
        <v>85</v>
      </c>
      <c r="B86" s="113">
        <v>879</v>
      </c>
      <c r="C86" s="113" t="s">
        <v>333</v>
      </c>
      <c r="D86" s="102"/>
      <c r="E86" s="115" t="s">
        <v>75</v>
      </c>
      <c r="F86" s="115" t="s">
        <v>121</v>
      </c>
      <c r="G86" s="109"/>
      <c r="H86" s="104"/>
      <c r="I86" s="171" t="s">
        <v>16</v>
      </c>
      <c r="J86" s="108"/>
      <c r="K86" s="168" t="s">
        <v>38</v>
      </c>
      <c r="L86" s="168" t="s">
        <v>38</v>
      </c>
    </row>
    <row r="87" spans="1:12" ht="77.25" customHeight="1">
      <c r="A87" s="176">
        <v>86</v>
      </c>
      <c r="B87" s="113">
        <v>888</v>
      </c>
      <c r="C87" s="113" t="s">
        <v>333</v>
      </c>
      <c r="D87" s="102"/>
      <c r="E87" s="115" t="s">
        <v>78</v>
      </c>
      <c r="F87" s="122" t="s">
        <v>375</v>
      </c>
      <c r="G87" s="109"/>
      <c r="H87" s="104"/>
      <c r="I87" s="171"/>
      <c r="J87" s="108"/>
      <c r="K87" s="168" t="s">
        <v>38</v>
      </c>
      <c r="L87" s="168" t="s">
        <v>38</v>
      </c>
    </row>
    <row r="88" spans="1:12" ht="76.5" customHeight="1">
      <c r="A88" s="176">
        <v>87</v>
      </c>
      <c r="B88" s="113">
        <v>897</v>
      </c>
      <c r="C88" s="113" t="s">
        <v>108</v>
      </c>
      <c r="D88" s="102"/>
      <c r="E88" s="115" t="s">
        <v>97</v>
      </c>
      <c r="F88" s="115" t="s">
        <v>121</v>
      </c>
      <c r="G88" s="109"/>
      <c r="H88" s="104"/>
      <c r="I88" s="171" t="s">
        <v>16</v>
      </c>
      <c r="J88" s="108"/>
      <c r="K88" s="170" t="s">
        <v>291</v>
      </c>
      <c r="L88" s="170" t="s">
        <v>291</v>
      </c>
    </row>
    <row r="89" spans="1:12" ht="168">
      <c r="A89" s="176">
        <v>88</v>
      </c>
      <c r="B89" s="86">
        <v>898</v>
      </c>
      <c r="C89" s="86" t="s">
        <v>107</v>
      </c>
      <c r="D89" s="89" t="s">
        <v>177</v>
      </c>
      <c r="E89" s="175" t="s">
        <v>176</v>
      </c>
      <c r="F89" s="59" t="s">
        <v>145</v>
      </c>
      <c r="G89" s="134"/>
      <c r="H89" s="100" t="s">
        <v>270</v>
      </c>
      <c r="I89" s="86" t="s">
        <v>17</v>
      </c>
      <c r="J89" s="94" t="s">
        <v>251</v>
      </c>
      <c r="K89" s="232" t="s">
        <v>464</v>
      </c>
      <c r="L89" s="232" t="s">
        <v>464</v>
      </c>
    </row>
    <row r="90" spans="1:12" ht="38.25" customHeight="1">
      <c r="A90" s="176">
        <v>89</v>
      </c>
      <c r="B90" s="86">
        <v>900</v>
      </c>
      <c r="C90" s="86" t="s">
        <v>108</v>
      </c>
      <c r="D90" s="75" t="s">
        <v>156</v>
      </c>
      <c r="E90" s="175" t="s">
        <v>155</v>
      </c>
      <c r="F90" s="87" t="s">
        <v>123</v>
      </c>
      <c r="G90" s="79"/>
      <c r="H90" s="76"/>
      <c r="I90" s="86"/>
      <c r="J90" s="96" t="s">
        <v>251</v>
      </c>
      <c r="K90" s="140" t="s">
        <v>291</v>
      </c>
      <c r="L90" s="140" t="s">
        <v>291</v>
      </c>
    </row>
    <row r="91" spans="1:12" ht="84">
      <c r="A91" s="176">
        <v>90</v>
      </c>
      <c r="B91" s="84">
        <v>901</v>
      </c>
      <c r="C91" s="161" t="s">
        <v>108</v>
      </c>
      <c r="D91" s="75" t="s">
        <v>316</v>
      </c>
      <c r="E91" s="141" t="s">
        <v>362</v>
      </c>
      <c r="F91" s="160" t="s">
        <v>376</v>
      </c>
      <c r="G91" s="79"/>
      <c r="H91" s="2"/>
      <c r="I91" s="182" t="s">
        <v>14</v>
      </c>
      <c r="J91" s="96" t="s">
        <v>251</v>
      </c>
      <c r="K91" s="235" t="s">
        <v>465</v>
      </c>
      <c r="L91" s="235" t="s">
        <v>465</v>
      </c>
    </row>
    <row r="92" spans="1:12" ht="84">
      <c r="A92" s="176">
        <v>91</v>
      </c>
      <c r="B92" s="84">
        <v>902</v>
      </c>
      <c r="C92" s="143" t="s">
        <v>112</v>
      </c>
      <c r="D92" s="75" t="s">
        <v>317</v>
      </c>
      <c r="E92" s="141" t="s">
        <v>393</v>
      </c>
      <c r="F92" s="141" t="s">
        <v>320</v>
      </c>
      <c r="G92" s="79"/>
      <c r="H92" s="2"/>
      <c r="I92" s="182" t="s">
        <v>14</v>
      </c>
      <c r="J92" s="96"/>
      <c r="K92" s="235" t="s">
        <v>466</v>
      </c>
      <c r="L92" s="235" t="s">
        <v>466</v>
      </c>
    </row>
    <row r="93" spans="1:12" ht="60">
      <c r="A93" s="176">
        <v>92</v>
      </c>
      <c r="B93" s="84">
        <v>905</v>
      </c>
      <c r="C93" s="143" t="s">
        <v>315</v>
      </c>
      <c r="D93" s="75" t="s">
        <v>318</v>
      </c>
      <c r="E93" s="141" t="s">
        <v>394</v>
      </c>
      <c r="F93" s="141" t="s">
        <v>321</v>
      </c>
      <c r="H93" s="79" t="s">
        <v>324</v>
      </c>
      <c r="I93" s="182" t="s">
        <v>17</v>
      </c>
      <c r="J93" s="96"/>
      <c r="K93" s="235" t="s">
        <v>291</v>
      </c>
      <c r="L93" s="235" t="s">
        <v>291</v>
      </c>
    </row>
    <row r="94" spans="1:12" ht="60">
      <c r="A94" s="176">
        <v>93</v>
      </c>
      <c r="B94" s="84">
        <v>921</v>
      </c>
      <c r="C94" s="143" t="s">
        <v>109</v>
      </c>
      <c r="D94" s="75" t="s">
        <v>319</v>
      </c>
      <c r="E94" s="140" t="s">
        <v>395</v>
      </c>
      <c r="F94" s="141" t="s">
        <v>322</v>
      </c>
      <c r="G94" s="79"/>
      <c r="H94" s="76"/>
      <c r="I94" s="182" t="s">
        <v>17</v>
      </c>
      <c r="J94" s="96"/>
      <c r="K94" s="235" t="s">
        <v>291</v>
      </c>
      <c r="L94" s="235" t="s">
        <v>291</v>
      </c>
    </row>
    <row r="95" spans="1:12" ht="108">
      <c r="A95" s="176">
        <v>94</v>
      </c>
      <c r="B95" s="86">
        <v>945</v>
      </c>
      <c r="C95" s="86" t="s">
        <v>108</v>
      </c>
      <c r="D95" s="89"/>
      <c r="E95" s="175" t="s">
        <v>48</v>
      </c>
      <c r="F95" s="91" t="s">
        <v>185</v>
      </c>
      <c r="G95" s="134"/>
      <c r="H95" s="100" t="s">
        <v>184</v>
      </c>
      <c r="I95" s="86" t="s">
        <v>17</v>
      </c>
      <c r="J95" s="94" t="s">
        <v>251</v>
      </c>
      <c r="K95" s="234" t="s">
        <v>38</v>
      </c>
      <c r="L95" s="234" t="s">
        <v>38</v>
      </c>
    </row>
    <row r="96" spans="1:12" ht="36">
      <c r="A96" s="176">
        <v>95</v>
      </c>
      <c r="B96" s="113">
        <v>946</v>
      </c>
      <c r="C96" s="113" t="s">
        <v>363</v>
      </c>
      <c r="D96" s="114" t="s">
        <v>364</v>
      </c>
      <c r="E96" s="115" t="s">
        <v>365</v>
      </c>
      <c r="F96" s="122" t="s">
        <v>366</v>
      </c>
      <c r="G96" s="135"/>
      <c r="H96" s="116"/>
      <c r="I96" s="171" t="s">
        <v>15</v>
      </c>
      <c r="J96" s="118"/>
      <c r="K96" s="164" t="s">
        <v>249</v>
      </c>
      <c r="L96" s="164" t="s">
        <v>249</v>
      </c>
    </row>
    <row r="97" spans="1:12" ht="91.5" customHeight="1">
      <c r="A97" s="176">
        <v>96</v>
      </c>
      <c r="B97" s="113">
        <v>955</v>
      </c>
      <c r="C97" s="113" t="s">
        <v>108</v>
      </c>
      <c r="D97" s="102" t="s">
        <v>216</v>
      </c>
      <c r="E97" s="115" t="s">
        <v>100</v>
      </c>
      <c r="F97" s="115" t="s">
        <v>312</v>
      </c>
      <c r="G97" s="109"/>
      <c r="H97" s="123" t="s">
        <v>253</v>
      </c>
      <c r="I97" s="171"/>
      <c r="J97" s="108" t="s">
        <v>251</v>
      </c>
      <c r="K97" s="170" t="s">
        <v>38</v>
      </c>
      <c r="L97" s="170" t="s">
        <v>38</v>
      </c>
    </row>
    <row r="98" spans="1:12" ht="132">
      <c r="A98" s="176">
        <v>97</v>
      </c>
      <c r="B98" s="113">
        <v>956</v>
      </c>
      <c r="C98" s="113" t="s">
        <v>337</v>
      </c>
      <c r="D98" s="114"/>
      <c r="E98" s="115" t="s">
        <v>392</v>
      </c>
      <c r="F98" s="115" t="s">
        <v>259</v>
      </c>
      <c r="G98" s="135"/>
      <c r="H98" s="116" t="s">
        <v>253</v>
      </c>
      <c r="I98" s="171" t="s">
        <v>17</v>
      </c>
      <c r="J98" s="118"/>
      <c r="K98" s="164" t="s">
        <v>38</v>
      </c>
      <c r="L98" s="164" t="s">
        <v>38</v>
      </c>
    </row>
    <row r="99" spans="1:12">
      <c r="A99" s="176">
        <v>98</v>
      </c>
      <c r="B99" s="113">
        <v>959</v>
      </c>
      <c r="C99" s="113" t="s">
        <v>369</v>
      </c>
      <c r="D99" s="102"/>
      <c r="E99" s="103" t="s">
        <v>20</v>
      </c>
      <c r="F99" s="103" t="s">
        <v>121</v>
      </c>
      <c r="G99" s="109"/>
      <c r="H99" s="104"/>
      <c r="I99" s="171" t="s">
        <v>16</v>
      </c>
      <c r="J99" s="108"/>
      <c r="K99" s="221"/>
      <c r="L99" s="221"/>
    </row>
    <row r="100" spans="1:12">
      <c r="A100" s="27"/>
      <c r="B100" s="18"/>
      <c r="C100" s="18"/>
      <c r="D100" s="20"/>
      <c r="E100" s="6"/>
      <c r="F100" s="21"/>
      <c r="G100" s="22"/>
      <c r="H100" s="23"/>
      <c r="I100" s="177"/>
      <c r="J100" s="70"/>
      <c r="K100" s="30"/>
      <c r="L100" s="22"/>
    </row>
    <row r="101" spans="1:12">
      <c r="A101" s="27"/>
      <c r="B101" s="18"/>
      <c r="C101" s="19"/>
      <c r="D101" s="20"/>
      <c r="E101" s="21"/>
      <c r="F101" s="21"/>
      <c r="G101" s="22"/>
      <c r="H101" s="23"/>
      <c r="I101" s="177"/>
      <c r="J101" s="70"/>
      <c r="K101" s="22"/>
      <c r="L101" s="22"/>
    </row>
    <row r="102" spans="1:12">
      <c r="A102" s="27"/>
      <c r="B102" s="18"/>
      <c r="C102" s="18"/>
      <c r="D102" s="20"/>
      <c r="E102" s="21"/>
      <c r="F102" s="21"/>
      <c r="G102" s="22"/>
      <c r="H102" s="23"/>
      <c r="I102" s="177"/>
      <c r="J102" s="70"/>
      <c r="K102" s="22"/>
      <c r="L102" s="22"/>
    </row>
    <row r="103" spans="1:12">
      <c r="A103" s="27"/>
      <c r="B103" s="18"/>
      <c r="C103" s="18"/>
      <c r="D103" s="20"/>
      <c r="E103" s="21"/>
      <c r="F103" s="21"/>
      <c r="G103" s="22"/>
      <c r="H103" s="23"/>
      <c r="I103" s="177"/>
      <c r="J103" s="70"/>
      <c r="K103" s="22"/>
      <c r="L103" s="22"/>
    </row>
    <row r="104" spans="1:12">
      <c r="A104" s="27"/>
      <c r="B104" s="18"/>
      <c r="C104" s="18"/>
      <c r="D104" s="20"/>
      <c r="E104" s="21"/>
      <c r="F104" s="21"/>
      <c r="G104" s="22"/>
      <c r="H104" s="23"/>
      <c r="I104" s="177"/>
      <c r="J104" s="70"/>
      <c r="K104" s="22"/>
      <c r="L104" s="22"/>
    </row>
    <row r="105" spans="1:12">
      <c r="A105" s="27"/>
      <c r="B105" s="18"/>
      <c r="C105" s="18"/>
      <c r="D105" s="20"/>
      <c r="E105" s="21"/>
      <c r="F105" s="21"/>
      <c r="G105" s="22"/>
      <c r="H105" s="23"/>
      <c r="I105" s="177"/>
      <c r="J105" s="70"/>
      <c r="K105" s="22"/>
      <c r="L105" s="22"/>
    </row>
    <row r="106" spans="1:12">
      <c r="A106" s="27"/>
      <c r="B106" s="18"/>
      <c r="C106" s="18"/>
      <c r="D106" s="20"/>
      <c r="E106" s="21"/>
      <c r="F106" s="21"/>
      <c r="G106" s="22"/>
      <c r="H106" s="23"/>
      <c r="I106" s="177"/>
      <c r="J106" s="70"/>
      <c r="K106" s="22"/>
      <c r="L106" s="22"/>
    </row>
    <row r="107" spans="1:12">
      <c r="A107" s="27"/>
      <c r="B107" s="18"/>
      <c r="C107" s="18"/>
      <c r="D107" s="20"/>
      <c r="E107" s="21"/>
      <c r="F107" s="21"/>
      <c r="G107" s="22"/>
      <c r="H107" s="23"/>
      <c r="I107" s="177"/>
      <c r="J107" s="70"/>
      <c r="K107" s="22"/>
      <c r="L107" s="22"/>
    </row>
    <row r="108" spans="1:12">
      <c r="A108" s="27"/>
      <c r="B108" s="18"/>
      <c r="C108" s="19"/>
      <c r="D108" s="20"/>
      <c r="E108" s="21"/>
      <c r="F108" s="21"/>
      <c r="G108" s="22"/>
      <c r="H108" s="23"/>
      <c r="I108" s="177"/>
      <c r="J108" s="70"/>
      <c r="K108" s="22"/>
      <c r="L108" s="22"/>
    </row>
    <row r="109" spans="1:12">
      <c r="A109" s="27"/>
      <c r="B109" s="18"/>
      <c r="C109" s="18"/>
      <c r="D109" s="20"/>
      <c r="E109" s="21"/>
      <c r="F109" s="21"/>
      <c r="G109" s="22"/>
      <c r="H109" s="23"/>
      <c r="I109" s="177"/>
      <c r="J109" s="70"/>
      <c r="K109" s="22"/>
      <c r="L109" s="22"/>
    </row>
    <row r="110" spans="1:12">
      <c r="A110" s="27"/>
      <c r="B110" s="18"/>
      <c r="C110" s="19"/>
      <c r="D110" s="20"/>
      <c r="E110" s="21"/>
      <c r="F110" s="21"/>
      <c r="G110" s="22"/>
      <c r="H110" s="23"/>
      <c r="I110" s="177"/>
      <c r="J110" s="70"/>
      <c r="K110" s="22"/>
      <c r="L110" s="22"/>
    </row>
    <row r="111" spans="1:12">
      <c r="A111" s="27"/>
      <c r="B111" s="18"/>
      <c r="C111" s="18"/>
      <c r="D111" s="20"/>
      <c r="E111" s="21"/>
      <c r="F111" s="21"/>
      <c r="G111" s="22"/>
      <c r="H111" s="23"/>
      <c r="I111" s="177"/>
      <c r="J111" s="70"/>
      <c r="K111" s="22"/>
      <c r="L111" s="22"/>
    </row>
    <row r="112" spans="1:12">
      <c r="A112" s="27"/>
      <c r="B112" s="18"/>
      <c r="C112" s="18"/>
      <c r="D112" s="20"/>
      <c r="E112" s="21"/>
      <c r="F112" s="21"/>
      <c r="G112" s="22"/>
      <c r="H112" s="23"/>
      <c r="I112" s="177"/>
      <c r="J112" s="70"/>
      <c r="K112" s="22"/>
      <c r="L112" s="22"/>
    </row>
    <row r="113" spans="1:12">
      <c r="A113" s="27"/>
      <c r="B113" s="18"/>
      <c r="C113" s="18"/>
      <c r="D113" s="20"/>
      <c r="E113" s="21"/>
      <c r="F113" s="21"/>
      <c r="G113" s="22"/>
      <c r="H113" s="23"/>
      <c r="I113" s="177"/>
      <c r="J113" s="70"/>
      <c r="K113" s="22"/>
      <c r="L113" s="22"/>
    </row>
    <row r="114" spans="1:12">
      <c r="A114" s="27"/>
      <c r="B114" s="18"/>
      <c r="C114" s="19"/>
      <c r="D114" s="20"/>
      <c r="E114" s="21"/>
      <c r="F114" s="21"/>
      <c r="G114" s="22"/>
      <c r="H114" s="23"/>
      <c r="I114" s="177"/>
      <c r="J114" s="70"/>
      <c r="K114" s="22"/>
      <c r="L114" s="22"/>
    </row>
    <row r="115" spans="1:12">
      <c r="A115" s="27"/>
      <c r="B115" s="18"/>
      <c r="C115" s="18"/>
      <c r="D115" s="20"/>
      <c r="E115" s="21"/>
      <c r="F115" s="21"/>
      <c r="G115" s="22"/>
      <c r="H115" s="23"/>
      <c r="I115" s="177"/>
      <c r="J115" s="70"/>
      <c r="K115" s="22"/>
      <c r="L115" s="22"/>
    </row>
    <row r="116" spans="1:12">
      <c r="A116" s="27"/>
      <c r="B116" s="18"/>
      <c r="C116" s="19"/>
      <c r="D116" s="20"/>
      <c r="E116" s="21"/>
      <c r="F116" s="21"/>
      <c r="G116" s="22"/>
      <c r="H116" s="23"/>
      <c r="I116" s="177"/>
      <c r="J116" s="70"/>
      <c r="K116" s="22"/>
      <c r="L116" s="22"/>
    </row>
    <row r="117" spans="1:12">
      <c r="A117" s="27"/>
      <c r="B117" s="18"/>
      <c r="C117" s="19"/>
      <c r="D117" s="20"/>
      <c r="E117" s="21"/>
      <c r="F117" s="21"/>
      <c r="G117" s="22"/>
      <c r="H117" s="23"/>
      <c r="I117" s="177"/>
      <c r="J117" s="70"/>
      <c r="K117" s="22"/>
      <c r="L117" s="22"/>
    </row>
    <row r="118" spans="1:12">
      <c r="A118" s="27"/>
      <c r="B118" s="18"/>
      <c r="C118" s="18"/>
      <c r="D118" s="20"/>
      <c r="E118" s="21"/>
      <c r="F118" s="21"/>
      <c r="G118" s="22"/>
      <c r="H118" s="23"/>
      <c r="I118" s="177"/>
      <c r="J118" s="70"/>
      <c r="K118" s="22"/>
      <c r="L118" s="22"/>
    </row>
    <row r="119" spans="1:12">
      <c r="A119" s="27"/>
      <c r="B119" s="18"/>
      <c r="C119" s="19"/>
      <c r="D119" s="20"/>
      <c r="E119" s="21"/>
      <c r="F119" s="21"/>
      <c r="G119" s="22"/>
      <c r="H119" s="23"/>
      <c r="I119" s="177"/>
      <c r="J119" s="70"/>
      <c r="K119" s="22"/>
      <c r="L119" s="22"/>
    </row>
    <row r="120" spans="1:12">
      <c r="A120" s="27"/>
      <c r="B120" s="18"/>
      <c r="C120" s="18"/>
      <c r="D120" s="20"/>
      <c r="E120" s="21"/>
      <c r="F120" s="21"/>
      <c r="G120" s="22"/>
      <c r="H120" s="23"/>
      <c r="I120" s="177"/>
      <c r="J120" s="70"/>
      <c r="K120" s="22"/>
      <c r="L120" s="22"/>
    </row>
    <row r="121" spans="1:12">
      <c r="A121" s="27"/>
      <c r="B121" s="18"/>
      <c r="C121" s="18"/>
      <c r="D121" s="20"/>
      <c r="E121" s="21"/>
      <c r="F121" s="21"/>
      <c r="G121" s="22"/>
      <c r="H121" s="23"/>
      <c r="I121" s="177"/>
      <c r="J121" s="70"/>
      <c r="K121" s="22"/>
      <c r="L121" s="22"/>
    </row>
    <row r="122" spans="1:12">
      <c r="A122" s="27"/>
      <c r="B122" s="18"/>
      <c r="C122" s="18"/>
      <c r="D122" s="20"/>
      <c r="E122" s="6"/>
      <c r="F122" s="21"/>
      <c r="G122" s="22"/>
      <c r="H122" s="23"/>
      <c r="I122" s="177"/>
      <c r="J122" s="70"/>
      <c r="K122" s="22"/>
      <c r="L122" s="30"/>
    </row>
    <row r="123" spans="1:12">
      <c r="A123" s="27"/>
      <c r="B123" s="18"/>
      <c r="C123" s="18"/>
      <c r="D123" s="20"/>
      <c r="E123" s="6"/>
      <c r="F123" s="21"/>
      <c r="G123" s="22"/>
      <c r="H123" s="23"/>
      <c r="I123" s="177"/>
      <c r="J123" s="70"/>
      <c r="K123" s="22"/>
      <c r="L123" s="22"/>
    </row>
    <row r="124" spans="1:12">
      <c r="A124" s="27"/>
      <c r="B124" s="18"/>
      <c r="C124" s="18"/>
      <c r="D124" s="20"/>
      <c r="E124" s="21"/>
      <c r="G124" s="22"/>
      <c r="H124" s="23"/>
      <c r="I124" s="177"/>
      <c r="J124" s="70"/>
      <c r="K124" s="22"/>
      <c r="L124" s="22"/>
    </row>
    <row r="125" spans="1:12">
      <c r="A125" s="27"/>
      <c r="B125" s="18"/>
      <c r="C125" s="19"/>
      <c r="D125" s="20"/>
      <c r="E125" s="6"/>
      <c r="G125" s="22"/>
      <c r="H125" s="23"/>
      <c r="I125" s="177"/>
      <c r="J125" s="70"/>
      <c r="K125" s="22"/>
      <c r="L125" s="22"/>
    </row>
    <row r="126" spans="1:12">
      <c r="A126" s="27"/>
      <c r="B126" s="18"/>
      <c r="C126" s="19"/>
      <c r="D126" s="20"/>
      <c r="E126" s="21"/>
      <c r="G126" s="22"/>
      <c r="H126" s="23"/>
      <c r="I126" s="177"/>
      <c r="J126" s="70"/>
      <c r="K126" s="22"/>
      <c r="L126" s="22"/>
    </row>
    <row r="127" spans="1:12">
      <c r="A127" s="27"/>
      <c r="B127" s="18"/>
      <c r="C127" s="18"/>
      <c r="D127" s="20"/>
      <c r="E127" s="21"/>
      <c r="G127" s="22"/>
      <c r="H127" s="23"/>
      <c r="I127" s="177"/>
      <c r="J127" s="70"/>
      <c r="K127" s="22"/>
      <c r="L127" s="22"/>
    </row>
    <row r="128" spans="1:12">
      <c r="A128" s="27"/>
      <c r="B128" s="18"/>
      <c r="C128" s="18"/>
      <c r="D128" s="20"/>
      <c r="E128" s="6"/>
      <c r="G128" s="22"/>
      <c r="H128" s="23"/>
      <c r="I128" s="177"/>
      <c r="J128" s="70"/>
      <c r="K128" s="22"/>
      <c r="L128" s="30"/>
    </row>
    <row r="129" spans="1:12">
      <c r="A129" s="53" t="s">
        <v>16</v>
      </c>
      <c r="E129" s="46"/>
      <c r="G129" s="12"/>
      <c r="H129" s="12"/>
      <c r="I129" s="186"/>
      <c r="J129" s="97"/>
      <c r="K129" s="14"/>
      <c r="L129" s="14"/>
    </row>
    <row r="130" spans="1:12">
      <c r="A130" s="53" t="s">
        <v>16</v>
      </c>
      <c r="E130" s="46"/>
      <c r="G130" s="12"/>
      <c r="H130" s="12"/>
      <c r="I130" s="186"/>
      <c r="J130" s="97"/>
      <c r="K130" s="14"/>
      <c r="L130" s="14"/>
    </row>
    <row r="131" spans="1:12">
      <c r="A131" s="53" t="s">
        <v>16</v>
      </c>
      <c r="E131" s="46"/>
      <c r="G131" s="12"/>
      <c r="H131" s="12"/>
      <c r="I131" s="186"/>
      <c r="J131" s="97"/>
      <c r="K131" s="14"/>
      <c r="L131" s="14"/>
    </row>
    <row r="132" spans="1:12">
      <c r="A132" s="53" t="s">
        <v>16</v>
      </c>
      <c r="E132" s="46"/>
      <c r="G132" s="12"/>
      <c r="H132" s="12"/>
      <c r="I132" s="186"/>
      <c r="J132" s="97"/>
      <c r="K132" s="14"/>
      <c r="L132" s="14"/>
    </row>
    <row r="133" spans="1:12">
      <c r="A133" s="53" t="s">
        <v>16</v>
      </c>
      <c r="E133" s="46"/>
      <c r="G133" s="12"/>
      <c r="H133" s="12"/>
      <c r="I133" s="186"/>
      <c r="J133" s="97"/>
      <c r="K133" s="14"/>
      <c r="L133" s="14"/>
    </row>
    <row r="134" spans="1:12">
      <c r="A134" s="53" t="s">
        <v>16</v>
      </c>
      <c r="E134" s="46"/>
      <c r="G134" s="12"/>
      <c r="H134" s="12"/>
      <c r="I134" s="186"/>
      <c r="J134" s="97"/>
      <c r="K134" s="14"/>
      <c r="L134" s="14"/>
    </row>
    <row r="135" spans="1:12">
      <c r="A135" s="53" t="s">
        <v>16</v>
      </c>
      <c r="E135" s="46"/>
      <c r="G135" s="12"/>
      <c r="H135" s="12"/>
      <c r="I135" s="186"/>
      <c r="J135" s="97"/>
      <c r="K135" s="14"/>
      <c r="L135" s="14"/>
    </row>
    <row r="136" spans="1:12">
      <c r="A136" s="53" t="s">
        <v>16</v>
      </c>
      <c r="E136" s="46"/>
      <c r="G136" s="12"/>
      <c r="H136" s="12"/>
      <c r="I136" s="186"/>
      <c r="J136" s="97"/>
      <c r="K136" s="14"/>
      <c r="L136" s="14"/>
    </row>
    <row r="137" spans="1:12">
      <c r="A137" s="53" t="s">
        <v>16</v>
      </c>
      <c r="E137" s="46"/>
      <c r="G137" s="12"/>
      <c r="H137" s="12"/>
      <c r="I137" s="186"/>
      <c r="J137" s="97"/>
      <c r="K137" s="14"/>
      <c r="L137" s="14"/>
    </row>
    <row r="138" spans="1:12">
      <c r="A138" s="53" t="s">
        <v>16</v>
      </c>
      <c r="E138" s="46"/>
      <c r="G138" s="12"/>
      <c r="H138" s="12"/>
      <c r="I138" s="186"/>
      <c r="J138" s="97"/>
      <c r="K138" s="14"/>
      <c r="L138" s="14"/>
    </row>
    <row r="139" spans="1:12">
      <c r="G139" s="12"/>
      <c r="H139" s="12"/>
      <c r="I139" s="186"/>
      <c r="J139" s="97"/>
      <c r="K139" s="16"/>
      <c r="L139" s="16"/>
    </row>
    <row r="140" spans="1:12">
      <c r="G140" s="12"/>
      <c r="H140" s="12"/>
      <c r="I140" s="186"/>
      <c r="J140" s="97"/>
      <c r="K140" s="16"/>
      <c r="L140" s="16"/>
    </row>
    <row r="141" spans="1:12">
      <c r="G141" s="12"/>
      <c r="H141" s="12"/>
      <c r="I141" s="186"/>
      <c r="J141" s="97"/>
      <c r="K141" s="16"/>
      <c r="L141" s="16"/>
    </row>
    <row r="142" spans="1:12" ht="12" customHeight="1">
      <c r="G142" s="12"/>
      <c r="H142" s="12"/>
      <c r="I142" s="186"/>
      <c r="J142" s="97"/>
      <c r="K142" s="16"/>
      <c r="L142" s="16"/>
    </row>
    <row r="143" spans="1:12" ht="12.75" customHeight="1">
      <c r="G143" s="12"/>
      <c r="H143" s="12"/>
      <c r="I143" s="186"/>
      <c r="J143" s="97"/>
      <c r="K143" s="16"/>
      <c r="L143" s="16"/>
    </row>
    <row r="144" spans="1:12">
      <c r="G144" s="12"/>
      <c r="H144" s="12"/>
      <c r="I144" s="186"/>
      <c r="J144" s="97"/>
      <c r="K144" s="16"/>
      <c r="L144" s="16"/>
    </row>
    <row r="145" spans="7:12">
      <c r="G145" s="12"/>
      <c r="H145" s="12"/>
      <c r="I145" s="186"/>
      <c r="J145" s="97"/>
      <c r="K145" s="16"/>
      <c r="L145" s="16"/>
    </row>
    <row r="146" spans="7:12">
      <c r="G146" s="12"/>
      <c r="H146" s="12"/>
      <c r="I146" s="186"/>
      <c r="J146" s="97"/>
      <c r="K146" s="16"/>
      <c r="L146" s="16"/>
    </row>
    <row r="147" spans="7:12">
      <c r="G147" s="12"/>
      <c r="H147" s="12"/>
      <c r="I147" s="186"/>
      <c r="J147" s="97"/>
      <c r="K147" s="16"/>
      <c r="L147" s="16"/>
    </row>
    <row r="148" spans="7:12">
      <c r="G148" s="12"/>
      <c r="H148" s="12"/>
      <c r="I148" s="186"/>
      <c r="J148" s="97"/>
      <c r="K148" s="16"/>
      <c r="L148" s="16"/>
    </row>
    <row r="149" spans="7:12">
      <c r="G149" s="12"/>
      <c r="H149" s="12"/>
      <c r="I149" s="186"/>
      <c r="J149" s="97"/>
      <c r="K149" s="16"/>
      <c r="L149" s="16"/>
    </row>
    <row r="150" spans="7:12">
      <c r="G150" s="12"/>
      <c r="H150" s="12"/>
      <c r="I150" s="186"/>
      <c r="J150" s="97"/>
      <c r="K150" s="16"/>
      <c r="L150" s="16"/>
    </row>
    <row r="151" spans="7:12">
      <c r="G151" s="12"/>
      <c r="H151" s="12"/>
      <c r="I151" s="186"/>
      <c r="J151" s="97"/>
      <c r="K151" s="16"/>
      <c r="L151" s="16"/>
    </row>
    <row r="152" spans="7:12">
      <c r="G152" s="12"/>
      <c r="H152" s="12"/>
      <c r="I152" s="186"/>
      <c r="J152" s="97"/>
      <c r="K152" s="16"/>
      <c r="L152" s="16"/>
    </row>
    <row r="153" spans="7:12">
      <c r="G153" s="12"/>
      <c r="H153" s="12"/>
      <c r="I153" s="186"/>
      <c r="J153" s="97"/>
      <c r="K153" s="16"/>
      <c r="L153" s="16"/>
    </row>
    <row r="154" spans="7:12">
      <c r="G154" s="12"/>
      <c r="H154" s="12"/>
      <c r="I154" s="186"/>
      <c r="J154" s="97"/>
      <c r="K154" s="16"/>
      <c r="L154" s="16"/>
    </row>
    <row r="155" spans="7:12">
      <c r="G155" s="12"/>
      <c r="H155" s="12"/>
      <c r="I155" s="186"/>
      <c r="J155" s="97"/>
      <c r="K155" s="16"/>
      <c r="L155" s="16"/>
    </row>
    <row r="156" spans="7:12">
      <c r="G156" s="12"/>
      <c r="H156" s="12"/>
      <c r="I156" s="186"/>
      <c r="J156" s="97"/>
      <c r="K156" s="16"/>
      <c r="L156" s="16"/>
    </row>
    <row r="157" spans="7:12">
      <c r="G157" s="12"/>
      <c r="H157" s="12"/>
      <c r="I157" s="186"/>
      <c r="J157" s="97"/>
      <c r="K157" s="16"/>
      <c r="L157" s="16"/>
    </row>
    <row r="158" spans="7:12">
      <c r="G158" s="12"/>
      <c r="H158" s="12"/>
      <c r="I158" s="186"/>
      <c r="J158" s="97"/>
      <c r="K158" s="16"/>
      <c r="L158" s="16"/>
    </row>
    <row r="159" spans="7:12">
      <c r="G159" s="12"/>
      <c r="H159" s="12"/>
      <c r="I159" s="186"/>
      <c r="J159" s="97"/>
      <c r="K159" s="16"/>
      <c r="L159" s="16"/>
    </row>
    <row r="160" spans="7:12" ht="12" customHeight="1"/>
    <row r="161" ht="12.75" customHeight="1"/>
    <row r="162" ht="12" customHeight="1"/>
    <row r="163" ht="12.75" customHeight="1"/>
    <row r="174" ht="12" customHeight="1"/>
    <row r="175" ht="12.75" customHeight="1"/>
    <row r="176" ht="12" customHeight="1"/>
    <row r="177" ht="12.75" customHeight="1"/>
    <row r="180" ht="12" customHeight="1"/>
    <row r="181" ht="12.75" customHeight="1"/>
    <row r="182" ht="12" customHeight="1"/>
    <row r="183" ht="12.75" customHeight="1"/>
    <row r="184" ht="12" customHeight="1"/>
    <row r="185" ht="12.75" customHeight="1"/>
    <row r="187" ht="12.75" customHeight="1"/>
    <row r="197" ht="12" customHeight="1"/>
    <row r="198" ht="12.75" customHeight="1"/>
    <row r="199" ht="12" customHeight="1"/>
    <row r="200" ht="12.75" customHeight="1"/>
    <row r="204" ht="12" customHeight="1"/>
    <row r="205" ht="12.75" customHeight="1"/>
    <row r="207" ht="12" customHeight="1"/>
    <row r="208" ht="12.75" customHeight="1"/>
  </sheetData>
  <sheetProtection autoFilter="0"/>
  <protectedRanges>
    <protectedRange password="EE42" sqref="H6 F6 F23:F29 F7:G8 F74:H75 F76 H62 F84:H85 F95:H97 F62:G63 H93 G91:H92 F64:H66 F87:H90 B72:F73 B74:D76 H76 B84:D85 B22:E66 B95:D97 B67:H71 B87:D90 B81:F83 B91:F94 G94:H94 B1:D21 B77:H80 F9:H22 F30:H61 F1:H5 F99:H65532 B99:D65532" name="Range1"/>
    <protectedRange password="EE42" sqref="G6" name="Range1_1"/>
    <protectedRange password="EE42" sqref="H7:H8" name="Range1_2"/>
    <protectedRange password="EE42" sqref="B86:D86 F86:H86" name="Range1_3"/>
    <protectedRange password="EE42" sqref="B98:D98 F98:H98" name="Range1_4"/>
    <protectedRange password="EE42" sqref="E87:E97 E1:E85 E99:E65532" name="Range1_6"/>
    <protectedRange password="EE42" sqref="E86" name="Range1_3_1"/>
    <protectedRange password="EE42" sqref="E98" name="Range1_4_1"/>
    <protectedRange password="EE42" sqref="A1:A2 A100:A65532 A6 A10 A14 A18 A22 A26 A30 A34 A38 A42 A46 A50 A54 A58 A62 A66 A70 A74 A78 A82 A86 A90 A94 A98" name="Range1_7"/>
    <protectedRange password="EE42" sqref="K52 K22 K31:L34 K36:L36 L65:L66 K64:K66 K74:L75 K97:L97 K67:L71 K93:L94 K63:L63 K59:L59 K16:L16 K20:L20 K77:L78" name="Range1_5"/>
    <protectedRange password="EE42" sqref="K62:L62" name="Range1_6_1"/>
    <protectedRange password="EE42" sqref="K13:L13" name="Range1_7_2"/>
    <protectedRange password="EE42" sqref="K44:L44" name="Range1_11"/>
    <protectedRange password="EE42" sqref="K55:L55" name="Range1_15"/>
    <protectedRange password="EE42" sqref="K56:L56" name="Range1_17"/>
    <protectedRange password="EE42" sqref="K91:L91" name="Range1_21"/>
    <protectedRange password="EE42" sqref="K92:L92" name="Range1_22"/>
    <protectedRange password="EE42" sqref="K45:L45" name="Range1_5_1_1"/>
  </protectedRanges>
  <autoFilter ref="A1:L138" xr:uid="{00000000-0009-0000-0000-000006000000}"/>
  <dataValidations count="3">
    <dataValidation type="list" allowBlank="1" showInputMessage="1" showErrorMessage="1" sqref="G29" xr:uid="{00000000-0002-0000-0600-000000000000}">
      <formula1>#REF!</formula1>
    </dataValidation>
    <dataValidation type="list" allowBlank="1" showInputMessage="1" showErrorMessage="1" sqref="L52" xr:uid="{047A3D04-0401-4540-B95D-293406FD4F31}">
      <formula1>$Q$52:$R$52</formula1>
    </dataValidation>
    <dataValidation type="list" allowBlank="1" showInputMessage="1" showErrorMessage="1" sqref="L64" xr:uid="{4B2C9EBA-80FA-406D-B4B8-3745A29EA126}">
      <formula1>$Q$64:$S$64</formula1>
    </dataValidation>
  </dataValidations>
  <printOptions horizontalCentered="1"/>
  <pageMargins left="0.25" right="0.25" top="0.5" bottom="0.5" header="0.3" footer="0.17"/>
  <pageSetup paperSize="5" scale="81" fitToHeight="22" orientation="landscape" horizontalDpi="300" verticalDpi="300" r:id="rId1"/>
  <headerFooter>
    <oddHeader>&amp;L&amp;"Arial,Regular"Thomson Reuters&amp;C&amp;"Arial,Regular"DIST Reverse Mapping&amp;R&amp;"Arial,Regular"New Installations - Conversions</oddHeader>
    <oddFooter>&amp;L&amp;"Arial,Regular"&amp;8Confidential
&amp;Z&amp;F&amp;C&amp;"Arial,Regular"&amp;8&amp;D&amp;R&amp;"Arial,Regular"&amp;8Page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TaxCatchAll xmlns="b2dbde3b-126d-4786-9776-87cdafcd6f93" xsi:nil="true"/>
    <_ip_UnifiedCompliancePolicyUIAction xmlns="http://schemas.microsoft.com/sharepoint/v3" xsi:nil="true"/>
    <_ip_UnifiedCompliancePolicyProperties xmlns="http://schemas.microsoft.com/sharepoint/v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4925B6-1571-4008-897D-3A46975C0F08}"/>
</file>

<file path=customXml/itemProps2.xml><?xml version="1.0" encoding="utf-8"?>
<ds:datastoreItem xmlns:ds="http://schemas.openxmlformats.org/officeDocument/2006/customXml" ds:itemID="{28EDB4F4-AFEB-4349-A1FE-5D4BB6807DA3}">
  <ds:schemaRefs>
    <ds:schemaRef ds:uri="http://purl.org/dc/dcmitype/"/>
    <ds:schemaRef ds:uri="http://purl.org/dc/elements/1.1/"/>
    <ds:schemaRef ds:uri="http://schemas.openxmlformats.org/package/2006/metadata/core-properties"/>
    <ds:schemaRef ds:uri="b19f8751-ba6d-484b-a841-324d9c2737db"/>
    <ds:schemaRef ds:uri="http://purl.org/dc/terms/"/>
    <ds:schemaRef ds:uri="http://schemas.microsoft.com/office/2006/documentManagement/types"/>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FCC4783-6DB6-45E7-B194-FF5838953A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COVER PAGE</vt:lpstr>
      <vt:lpstr>PURGE CRITERIA</vt:lpstr>
      <vt:lpstr>UPDATES</vt:lpstr>
      <vt:lpstr>NI CLIENT NOTES</vt:lpstr>
      <vt:lpstr>MAPPING</vt:lpstr>
      <vt:lpstr>TABLE A</vt:lpstr>
      <vt:lpstr>PREVIOUS MAPPING</vt:lpstr>
      <vt:lpstr>UPDATES!OLE_LINK5</vt:lpstr>
      <vt:lpstr>'COVER PAGE'!Print_Area</vt:lpstr>
      <vt:lpstr>MAPPING!Print_Area</vt:lpstr>
      <vt:lpstr>'PREVIOUS MAPPING'!Print_Area</vt:lpstr>
      <vt:lpstr>UPDATES!Print_Area</vt:lpstr>
      <vt:lpstr>MAPPING!Print_Titles</vt:lpstr>
      <vt:lpstr>'PREVIOUS MAPPING'!Print_Titles</vt:lpstr>
    </vt:vector>
  </TitlesOfParts>
  <Company>Thomson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DEDIST - Pershing MASTER</dc:title>
  <dc:creator>Michael Hoyt</dc:creator>
  <cp:lastModifiedBy>Bennett, Sandra (Refinitiv)</cp:lastModifiedBy>
  <cp:lastPrinted>2018-11-16T18:18:06Z</cp:lastPrinted>
  <dcterms:created xsi:type="dcterms:W3CDTF">2013-07-31T19:09:17Z</dcterms:created>
  <dcterms:modified xsi:type="dcterms:W3CDTF">2022-05-25T13:52:21Z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Order">
    <vt:r8>224400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