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fileSharing readOnlyRecommended="1"/>
  <workbookPr defaultThemeVersion="124226"/>
  <mc:AlternateContent xmlns:mc="http://schemas.openxmlformats.org/markup-compatibility/2006">
    <mc:Choice Requires="x15">
      <x15ac:absPath xmlns:x15ac="http://schemas.microsoft.com/office/spreadsheetml/2010/11/ac" url="https://betanxt.sharepoint.com/sites/ImplementationIntegrations130/Shared Documents/Conversions and Data Analyst/FDC Conversion Projects/2025 Open Conversions/LPL-First Horizon (NFS)/Mappings/"/>
    </mc:Choice>
  </mc:AlternateContent>
  <xr:revisionPtr revIDLastSave="318" documentId="8_{1CB3639F-7092-4207-BAAE-38986A49EAB2}" xr6:coauthVersionLast="47" xr6:coauthVersionMax="47" xr10:uidLastSave="{5B2BF3EB-5660-4A18-8CBE-6DFBDC340704}"/>
  <bookViews>
    <workbookView xWindow="-120" yWindow="-120" windowWidth="29040" windowHeight="15720" xr2:uid="{00000000-000D-0000-FFFF-FFFF00000000}"/>
  </bookViews>
  <sheets>
    <sheet name="COVER PAGE" sheetId="1" r:id="rId1"/>
    <sheet name="UPDATES" sheetId="5" r:id="rId2"/>
    <sheet name="INCLUSION CRITERION" sheetId="12" r:id="rId3"/>
    <sheet name="NI CLIENT NOTES" sheetId="7" r:id="rId4"/>
    <sheet name="MAPPING" sheetId="4" r:id="rId5"/>
    <sheet name="FREQ BEGIN" sheetId="16" r:id="rId6"/>
    <sheet name="PREVIOUS MAPPING" sheetId="20" r:id="rId7"/>
    <sheet name="DESC" sheetId="18" r:id="rId8"/>
    <sheet name="SOURCE" sheetId="17" r:id="rId9"/>
  </sheets>
  <externalReferences>
    <externalReference r:id="rId10"/>
  </externalReferences>
  <definedNames>
    <definedName name="_xlnm._FilterDatabase" localSheetId="4" hidden="1">MAPPING!$A$1:$Y$143</definedName>
    <definedName name="_xlnm._FilterDatabase" localSheetId="6" hidden="1">'PREVIOUS MAPPING'!$A$1:$W$147</definedName>
    <definedName name="conv" localSheetId="6">#REF!</definedName>
    <definedName name="conv">#REF!</definedName>
    <definedName name="convert" localSheetId="6">'[1]Broadridge - Options'!#REF!</definedName>
    <definedName name="convert">'[1]Broadridge - Options'!#REF!</definedName>
    <definedName name="OLE_LINK5" localSheetId="1">UPDATES!$D$5</definedName>
    <definedName name="_xlnm.Print_Area" localSheetId="5">'FREQ BEGIN'!$A$1:$R$50</definedName>
    <definedName name="_xlnm.Print_Area" localSheetId="2">'INCLUSION CRITERION'!$A$1:$F$49</definedName>
    <definedName name="_xlnm.Print_Area" localSheetId="4">MAPPING!$A$1:$M$133</definedName>
    <definedName name="_xlnm.Print_Area" localSheetId="6">'PREVIOUS MAPPING'!$A$1:$L$137</definedName>
    <definedName name="_xlnm.Print_Area" localSheetId="8">SOURCE!$A$1:$F$31</definedName>
    <definedName name="_xlnm.Print_Area" localSheetId="1">UPDATES!$A$1:$D$35</definedName>
    <definedName name="_xlnm.Print_Titles" localSheetId="4">MAPPING!$1:$1</definedName>
    <definedName name="_xlnm.Print_Titles" localSheetId="6">'PREVIOUS MAPPING'!$1:$1</definedName>
    <definedName name="Z_02280CA5_0044_4FC6_97AF_494789BF2E49_.wvu.PrintTitles" localSheetId="1" hidden="1">UPDATES!$A$1:$IR$1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5" i="16" l="1"/>
  <c r="A28" i="1" l="1"/>
  <c r="A29" i="1"/>
</calcChain>
</file>

<file path=xl/sharedStrings.xml><?xml version="1.0" encoding="utf-8"?>
<sst xmlns="http://schemas.openxmlformats.org/spreadsheetml/2006/main" count="3965" uniqueCount="981">
  <si>
    <t>Created:</t>
  </si>
  <si>
    <t>Updated:</t>
  </si>
  <si>
    <t xml:space="preserve"> </t>
  </si>
  <si>
    <t>FARM/Parameter Dependencies:</t>
  </si>
  <si>
    <t>Firm Number:</t>
  </si>
  <si>
    <t>FARM DIST</t>
  </si>
  <si>
    <t>Sub Number:</t>
  </si>
  <si>
    <t>Old Account prefix:</t>
  </si>
  <si>
    <t>FARM/Parameter's reviewed:</t>
  </si>
  <si>
    <t>FARM CASH</t>
  </si>
  <si>
    <t>Primary BETA Contact:</t>
  </si>
  <si>
    <t>ABAM</t>
  </si>
  <si>
    <t>Primary CLIENT Contact:</t>
  </si>
  <si>
    <t>FEES</t>
  </si>
  <si>
    <t>FARM CLED</t>
  </si>
  <si>
    <t xml:space="preserve">Input File(s): </t>
  </si>
  <si>
    <t xml:space="preserve">Copybook: </t>
  </si>
  <si>
    <t>WRAP PRM2</t>
  </si>
  <si>
    <t>NFSICPEC</t>
  </si>
  <si>
    <t>FROZ</t>
  </si>
  <si>
    <t>NFSPWSP</t>
  </si>
  <si>
    <t>NFSPWAA</t>
  </si>
  <si>
    <t>NFSPWFU</t>
  </si>
  <si>
    <t>Internal Use Only:</t>
  </si>
  <si>
    <t>Test region:</t>
  </si>
  <si>
    <t>Production Region:</t>
  </si>
  <si>
    <t>Test Series:</t>
  </si>
  <si>
    <t>X</t>
  </si>
  <si>
    <t>Production Series:</t>
  </si>
  <si>
    <t>Adds After File(s)</t>
  </si>
  <si>
    <t>Copybook:</t>
  </si>
  <si>
    <t>DBCDCY2K (or DEDIST)</t>
  </si>
  <si>
    <t>(test)</t>
  </si>
  <si>
    <t>(prod)</t>
  </si>
  <si>
    <r>
      <t xml:space="preserve">5608: </t>
    </r>
    <r>
      <rPr>
        <sz val="10"/>
        <color indexed="8"/>
        <rFont val="Arial"/>
        <family val="2"/>
      </rPr>
      <t xml:space="preserve"> The CSI-2 field on ACCT must be a ‘C’</t>
    </r>
  </si>
  <si>
    <r>
      <t xml:space="preserve">5607: </t>
    </r>
    <r>
      <rPr>
        <sz val="10"/>
        <color indexed="8"/>
        <rFont val="Arial"/>
        <family val="2"/>
      </rPr>
      <t xml:space="preserve">The DIVSI field on ACCT must be a ‘1, D, W, E or M’ </t>
    </r>
  </si>
  <si>
    <t xml:space="preserve">PWSP is the driver file.  </t>
  </si>
  <si>
    <t>Sort off any duplicate account/seq no records from the PWFU file by (PLN-ID + PLN-SQ-N + EFT-SUFX)</t>
  </si>
  <si>
    <t>If only 1 PWSP record exists but there are multiple unique records on the PWFU file, use the 1st record to match to ICP file.   If there is no match, convert DIST record without ACH instructions (ICP)</t>
  </si>
  <si>
    <t>ICP file sort criterion:</t>
  </si>
  <si>
    <t>Convert records when NFS-ICP-ES-SI-TYPE (col 8-9) = ES</t>
  </si>
  <si>
    <t>If NFS-ICP-ES-BEN-ACC-TY-C (col 1039) = S and there are multiple records for the account on the ICP file, convert the record that has the most recent date in CRET-T (pos. 90-115)</t>
  </si>
  <si>
    <t>If NFS-ICP-ES-BEN-ACC-TY-C (col 1039) = C and there are multiple records for the account on the ICP file, convert the record that has the most recent date in CRET-T (pos. 90-115)</t>
  </si>
  <si>
    <t xml:space="preserve">NOTE:  To determine a 'variable' DIST record,  a firm may need to look at the NAME file, 101 record dividend instructions.  </t>
  </si>
  <si>
    <t>DATE</t>
  </si>
  <si>
    <t xml:space="preserve">Remedy Task </t>
  </si>
  <si>
    <t>NI</t>
  </si>
  <si>
    <t>UPDATES</t>
  </si>
  <si>
    <t xml:space="preserve">NFS-PWSP-PLN-TY
(col 22) </t>
  </si>
  <si>
    <t>FIXED
Y / N</t>
  </si>
  <si>
    <t>VARIABLE
Y / N</t>
  </si>
  <si>
    <t xml:space="preserve">COMMENTS
</t>
  </si>
  <si>
    <t>R</t>
  </si>
  <si>
    <t>Y</t>
  </si>
  <si>
    <t>N</t>
  </si>
  <si>
    <t>Non-Retirement</t>
  </si>
  <si>
    <t>E</t>
  </si>
  <si>
    <t>Earnings (Retirement and Non-Retirement)</t>
  </si>
  <si>
    <t>G</t>
  </si>
  <si>
    <t>General (Retirement only)</t>
  </si>
  <si>
    <t>M</t>
  </si>
  <si>
    <t>MRD (Retirement Only</t>
  </si>
  <si>
    <t>D</t>
  </si>
  <si>
    <t>Death election MRD (Retirement only)</t>
  </si>
  <si>
    <t>S</t>
  </si>
  <si>
    <t>SEQP (Retirement only)</t>
  </si>
  <si>
    <t>NFS-PWSP-STAT-C
(col 23)</t>
  </si>
  <si>
    <t>Plan Status</t>
  </si>
  <si>
    <t>A</t>
  </si>
  <si>
    <t>Active</t>
  </si>
  <si>
    <t>New</t>
  </si>
  <si>
    <t>NFS-PWSP-PLN-ACC-TY
(col 25)</t>
  </si>
  <si>
    <t>Account Grouping</t>
  </si>
  <si>
    <t>I</t>
  </si>
  <si>
    <t>IRA's</t>
  </si>
  <si>
    <t>KMP</t>
  </si>
  <si>
    <t>P</t>
  </si>
  <si>
    <t>KPS</t>
  </si>
  <si>
    <t>NFS-PWSP-PY-CLC-MH
(col 51)</t>
  </si>
  <si>
    <t>Calculation Method</t>
  </si>
  <si>
    <t>Fixed Period</t>
  </si>
  <si>
    <t>F</t>
  </si>
  <si>
    <t>Fixed Amount</t>
  </si>
  <si>
    <t>L</t>
  </si>
  <si>
    <t>LE</t>
  </si>
  <si>
    <t>T</t>
  </si>
  <si>
    <t>2002 Regulations</t>
  </si>
  <si>
    <t>Amortization</t>
  </si>
  <si>
    <t>NFS-PWSP-MNEM
(col 52-54)</t>
  </si>
  <si>
    <t>Distribution mnemonic's</t>
  </si>
  <si>
    <t>CKP</t>
  </si>
  <si>
    <t>Check Paid - Retail</t>
  </si>
  <si>
    <t>EPP</t>
  </si>
  <si>
    <t>ETT</t>
  </si>
  <si>
    <t>EFT - Retail</t>
  </si>
  <si>
    <t>PDD</t>
  </si>
  <si>
    <t>PDH</t>
  </si>
  <si>
    <t>PDP</t>
  </si>
  <si>
    <t>PPM</t>
  </si>
  <si>
    <t>TFR</t>
  </si>
  <si>
    <t>Transfer</t>
  </si>
  <si>
    <t>NFS-PWSP-PMT-TY-***-C
(col 249-260)</t>
  </si>
  <si>
    <t>Payment Types</t>
  </si>
  <si>
    <t>Check</t>
  </si>
  <si>
    <t>C</t>
  </si>
  <si>
    <t>Check-Alt Address</t>
  </si>
  <si>
    <t>Directed</t>
  </si>
  <si>
    <t>EFT</t>
  </si>
  <si>
    <t>NFS-PWSP-DIRC-CUSP
(col 295)</t>
  </si>
  <si>
    <t>Funding Cusip</t>
  </si>
  <si>
    <t>= SPACE</t>
  </si>
  <si>
    <t>NFS-PWSP-END-DATE 
(col 41-50 )</t>
  </si>
  <si>
    <t>Program determines if record is fixed if DISTRIBUTION-AMT field &gt; 0 else it is a variable record</t>
  </si>
  <si>
    <t>Change Date</t>
  </si>
  <si>
    <t>COMMENTS</t>
  </si>
  <si>
    <t>BETA Remedy Task #</t>
  </si>
  <si>
    <t>Begin</t>
  </si>
  <si>
    <t>PIC</t>
  </si>
  <si>
    <t>DIST Field Name</t>
  </si>
  <si>
    <t>BETA Field Name
DIST-</t>
  </si>
  <si>
    <t>BETA Description</t>
  </si>
  <si>
    <t>NFS Field Name</t>
  </si>
  <si>
    <t>BETA Only Notes</t>
  </si>
  <si>
    <t>Fixed Mapping Instructions for Programmer</t>
  </si>
  <si>
    <t>Variable Mapping Instructions for Programmer</t>
  </si>
  <si>
    <t>SRC</t>
  </si>
  <si>
    <t>PRI</t>
  </si>
  <si>
    <t>FIXED/ VARIABLE/ BOTH</t>
  </si>
  <si>
    <t>Client Change Requests</t>
  </si>
  <si>
    <t>Client Only Notes</t>
  </si>
  <si>
    <t>Fixed - Option #1</t>
  </si>
  <si>
    <t>Fixed - Option #2</t>
  </si>
  <si>
    <t>Fixed - Option #3</t>
  </si>
  <si>
    <t>Variable - Option #1</t>
  </si>
  <si>
    <t>Variable - Option #2</t>
  </si>
  <si>
    <t>Variable - Option #3</t>
  </si>
  <si>
    <t>X(50)</t>
  </si>
  <si>
    <t>KEY-AREA</t>
  </si>
  <si>
    <t>(not for conversion)</t>
  </si>
  <si>
    <t>1. move spaces</t>
  </si>
  <si>
    <t>GROUP</t>
  </si>
  <si>
    <t>COOKIE-AREA</t>
  </si>
  <si>
    <t>CONVERSION -AREA</t>
  </si>
  <si>
    <t>1. Initialize to low values</t>
  </si>
  <si>
    <t>WORKAREA</t>
  </si>
  <si>
    <t xml:space="preserve">9(9)
</t>
  </si>
  <si>
    <t>ACCT</t>
  </si>
  <si>
    <t>CDC-ACCT</t>
  </si>
  <si>
    <t>BETA Account Number</t>
  </si>
  <si>
    <t>1. Move NAACCT-NO (beg 3-7).</t>
  </si>
  <si>
    <t>B</t>
  </si>
  <si>
    <t>1. From ACCT Adds after file: Move NAACCT-NO (beg 3-7).</t>
  </si>
  <si>
    <t>1. From ACCT Adds after file:  Move NAACCT-NO (beg 3-7).</t>
  </si>
  <si>
    <t>SSNO</t>
  </si>
  <si>
    <t>CDC-TAX-ID</t>
  </si>
  <si>
    <t>Social Security number or Tax ID</t>
  </si>
  <si>
    <t>If there are multiple DIST records for 1 account, the TAX-ID cannot be the same number and it cannot equal all 9's.</t>
  </si>
  <si>
    <t xml:space="preserve">1. Move zeros.
From ACCT Adds after file: If NAINST (beg 413) = I, move NAID (beg 382) from ACCT.
If  an account has multiple DIST records, the TAX-ID should be incremented by '1'.  (example:  ‘000000001’, ‘000000002’, etc.)'
</t>
  </si>
  <si>
    <t>CDC-NEW-TAX-ID</t>
  </si>
  <si>
    <t>Not for Conversion</t>
  </si>
  <si>
    <t>1. Initialize to low values.</t>
  </si>
  <si>
    <t>O</t>
  </si>
  <si>
    <t>X(5)</t>
  </si>
  <si>
    <t xml:space="preserve">SOURCE
</t>
  </si>
  <si>
    <t xml:space="preserve">CDC-SOURCE
</t>
  </si>
  <si>
    <t xml:space="preserve">Source code.                                       Values: 
IRAS: any valid 'PECO'
Retail: CCHK or ACH
</t>
  </si>
  <si>
    <t xml:space="preserve">PWSP file
NFS-PWSP-MNEM 
(col 52-54)
NFS-PWSP-PMT-TY-***-C (col 249-260)
</t>
  </si>
  <si>
    <t>Option #2 preferred.
If left as low values and retail account, DE will assign CCHK, ACH or JNL. 
If retirement acct, DE will look to IRAS - IRA Type field.  Then LRPT - default distribution code to populate (SB78232).  If the IRA Type field is spaces, DIST record will be rejected.</t>
  </si>
  <si>
    <t>2. Initialize to low values.</t>
  </si>
  <si>
    <t>1. Refer to SOURCE Table.</t>
  </si>
  <si>
    <t>X(2)</t>
  </si>
  <si>
    <t>IRS-CAT</t>
  </si>
  <si>
    <t>CDC-IRS-CATEGORY</t>
  </si>
  <si>
    <t xml:space="preserve">IRS reason code to be included on the 1099R form for reporting distributions to the IRS for certain PECO source codes.
&gt;&gt; For IRA accounts only                                        Values:
IRAS: BETA will pull from PECO using code from CVCDC-SOURCE above
</t>
  </si>
  <si>
    <t>1. Generated.</t>
  </si>
  <si>
    <t>FREQ</t>
  </si>
  <si>
    <t>CDC-FREQUENCY</t>
  </si>
  <si>
    <t xml:space="preserve">Frequency with which checks should be cut.  Valid values are:                                               
A- Annually 
B- Biweekly (every other week).
D- Daily 
E- Semi-monthly *
I- Bimonthly (every other month).
L- Monthly, last day of month *
M- Monthly 
O- One time only 
Q- Quarterly 
S =Semi-annually 
W = Weekly
*  These options include other set-up requirements
</t>
  </si>
  <si>
    <t xml:space="preserve">PWSP file
NFS-PWSP-PMT-TY-***-C (col 249-260)
</t>
  </si>
  <si>
    <t>1. Refer to FREQ BEGIN Table.</t>
  </si>
  <si>
    <t>BEG</t>
  </si>
  <si>
    <t xml:space="preserve">CDC-BEGIN-CYMD
</t>
  </si>
  <si>
    <t>Begin date and cycle date for checks.
If CDC-FREQUENCY is equal to ‘E’ (semi-monthly) the CDC-BEGIN-CYMD field cannot be greater than the 15th of the month.
If CDC-FREQUENCY is equal to ‘L’ (Last Business Day), this field should be left blank.</t>
  </si>
  <si>
    <t xml:space="preserve">If DIST cycle date 'day' falls on a weekend, FARM DIST - WKND/HOL field determines the day the money is sent
If FREQ = E, CDC-BEGIN-DD2 (beg 898) must be populated.
If BEGIN-CYMD is &lt; 17, and BEGIN-DD2 remains spaces, the system will populate DD2 with the last day of the month. 
</t>
  </si>
  <si>
    <t>CDC-END-CYMD</t>
  </si>
  <si>
    <t>End date. No checks are cut after this date.</t>
  </si>
  <si>
    <t xml:space="preserve">PSWP  file
NFS-PWSP-END-DATE 
(col 41-50)
</t>
  </si>
  <si>
    <t xml:space="preserve">1. Initialize to low values.  
If PWSP-END-DATE (col 41-50) is not equal to 01/01/9999 move PWSP-END-DATE (col 41-50) minus 1 calendar day.  
</t>
  </si>
  <si>
    <t>S9(13)V 9(2)</t>
  </si>
  <si>
    <t>AMOUNT</t>
  </si>
  <si>
    <t>CDC-DISTRIBUTION-AMT</t>
  </si>
  <si>
    <t>Suggested fixed dollar amount for checks.</t>
  </si>
  <si>
    <t xml:space="preserve">PWSP file
NFS-PWSP-PMT-AMT 
(col 74-79)
</t>
  </si>
  <si>
    <t>1. Move PWSP-PMT-AMT (col 74-79).</t>
  </si>
  <si>
    <t>F/W</t>
  </si>
  <si>
    <t>CDC-WITH-CODE-1</t>
  </si>
  <si>
    <r>
      <t xml:space="preserve">Withhold federal income tax from customer's IRA (or other qualified plan) check distributions.                                   
Valid values:
Blank- Not applicable.
</t>
    </r>
    <r>
      <rPr>
        <i/>
        <sz val="9"/>
        <color indexed="8"/>
        <rFont val="Arial"/>
        <family val="2"/>
      </rPr>
      <t xml:space="preserve">low values </t>
    </r>
    <r>
      <rPr>
        <sz val="9"/>
        <color indexed="8"/>
        <rFont val="Arial"/>
        <family val="2"/>
      </rPr>
      <t>- Value from FD W/H % field on IRAS will be used. (displays as D on database)
N- No federal income tax will be withheld.
Y- Federal income tax will be withheld.</t>
    </r>
  </si>
  <si>
    <t xml:space="preserve">PWSP file
NFS-PWSP-WH-PCT (col 55-57)
NFS-PWSP-WH-AMT
(col 59-63)
</t>
  </si>
  <si>
    <t xml:space="preserve">IRAs ONLY. </t>
  </si>
  <si>
    <t>1. Move 'N'.
 If PWSP-WH-PCT (col 55-57) or PWSP-WH-AMT (col 59-63) is &gt; 0 move 'Y'.</t>
  </si>
  <si>
    <t>2.  Move 'N'</t>
  </si>
  <si>
    <t>9(5)V9(2)</t>
  </si>
  <si>
    <t>F/W PCT</t>
  </si>
  <si>
    <t>CDC-WITH-PCT-1</t>
  </si>
  <si>
    <t xml:space="preserve">Percentage rate (based on the gross amount) of federal income tax to be deducted.
</t>
  </si>
  <si>
    <t xml:space="preserve">PWSP file
NFS-PWSP-WH-PCT (col 55-57)
</t>
  </si>
  <si>
    <t>1.  Iniitalize to low values.
Move PWSP-WH-PCT (col 55-57) if &gt; zero.</t>
  </si>
  <si>
    <t>1.  Iniitalize to low values.
Move PWSP-WH-PCT (col 55-57)  if &gt; zero.</t>
  </si>
  <si>
    <t xml:space="preserve">S9(13)V 9(2)
</t>
  </si>
  <si>
    <t>F/W AMT</t>
  </si>
  <si>
    <t>CDC-WITH-AMOUNT-1</t>
  </si>
  <si>
    <t xml:space="preserve">Flat dollar amount of federal tax to be deducted.
</t>
  </si>
  <si>
    <t xml:space="preserve">PWSP file
NFS-PWSP-WH-AMT (col 59-63)
</t>
  </si>
  <si>
    <t>IRAs ONLY.
If the number entered in this field is less than 10 percent of the distribution, the minimum federal tax percentage that will be deducted is 10 percent</t>
  </si>
  <si>
    <t>1. Initialize to low values.
Move PWSP-WH-AMT (col 59-63) if &gt; zero.</t>
  </si>
  <si>
    <t xml:space="preserve">9(3)
</t>
  </si>
  <si>
    <t>F/W 
FED-ALLOW</t>
  </si>
  <si>
    <t>CDC-WITH-ALLOWANCE-1</t>
  </si>
  <si>
    <t xml:space="preserve">Number of federal allowances claimed by the customer
(not currently used)
</t>
  </si>
  <si>
    <t>S/W</t>
  </si>
  <si>
    <t>CDC-WITH-CODE-2</t>
  </si>
  <si>
    <r>
      <t xml:space="preserve">Withhold state income tax from customer's IRA (or other qualified plan) check distributions.                                      
Valid values:
Blank- Not applicable.
</t>
    </r>
    <r>
      <rPr>
        <i/>
        <sz val="9"/>
        <color indexed="8"/>
        <rFont val="Arial"/>
        <family val="2"/>
      </rPr>
      <t>low values</t>
    </r>
    <r>
      <rPr>
        <sz val="9"/>
        <color indexed="8"/>
        <rFont val="Arial"/>
        <family val="2"/>
      </rPr>
      <t>:  Value from FD W/H % field on IRAS will be used. (displays as D on database)
N- State income tax will NOT be withheld.
Y- State income tax will be withheld.</t>
    </r>
  </si>
  <si>
    <t xml:space="preserve">PWSP file
NFS-PWSP-ST-WH (col 290-292)
</t>
  </si>
  <si>
    <t>1.  Move 'N'.
If PWSP-ST-WH (col 290-292) &gt; 0, move 'Y'.</t>
  </si>
  <si>
    <t>S/W PCT</t>
  </si>
  <si>
    <t>CDC-WITH-PCT-2</t>
  </si>
  <si>
    <t xml:space="preserve">Percentage rate (based on the gross amount) of state income tax to be deducted.
</t>
  </si>
  <si>
    <t>PWSP file 
NFS-PWSP-ST-WH (col 290-292)</t>
  </si>
  <si>
    <t>IRAs ONLY.
FARM IRAT - STATE ROUND UP</t>
  </si>
  <si>
    <t>1.  Initialize to low values.  
Move PSWP-ST-WH (col 290-292) if &gt; 0.</t>
  </si>
  <si>
    <t>S/W AMT</t>
  </si>
  <si>
    <t>CDC-WITH-AMOUNT-2</t>
  </si>
  <si>
    <t xml:space="preserve">Flat dollar amount of state tax to be deducted.
</t>
  </si>
  <si>
    <t>NAMELINES</t>
  </si>
  <si>
    <t>CDC-NUM-NAMLINES</t>
  </si>
  <si>
    <t xml:space="preserve">Number of lines of name-only information in both the CUSTOMER NAME/ADDRESS and ALTERNATE NAME/ADDRESS fields.
</t>
  </si>
  <si>
    <t>X(30)</t>
  </si>
  <si>
    <t>ALTERNATE NAME/ ADDRESS</t>
  </si>
  <si>
    <t>CDC-ALT-NALINE-1</t>
  </si>
  <si>
    <t>Up to 6 lines of alternate name &amp; Address information</t>
  </si>
  <si>
    <r>
      <t xml:space="preserve">PWSP file
NFS-PWSP-PMT-TY-***-C (col 249-260) </t>
    </r>
    <r>
      <rPr>
        <sz val="9"/>
        <color indexed="36"/>
        <rFont val="Arial"/>
        <family val="2"/>
      </rPr>
      <t xml:space="preserve"> (Note: *** = Jan, Feb, etc through Dec)</t>
    </r>
    <r>
      <rPr>
        <sz val="9"/>
        <color indexed="8"/>
        <rFont val="Arial"/>
        <family val="2"/>
      </rPr>
      <t xml:space="preserve">
PWAAFILE file
NFS-PWAA-ADDR-1 (col 49-80)
NFS-PWAA-BNK-NM (col 241)
</t>
    </r>
  </si>
  <si>
    <t>1. Initialize to low values.
If PWSP-PMT-TY-***-C = A (col 249-260), move PWAA-BNK-NM (col 241) if &gt; spaces else move PWAA-ADDR-1 (col 49-80).  
Write account to warning report (MSGT = 5721).</t>
  </si>
  <si>
    <t xml:space="preserve">1. Initialize to low values.
</t>
  </si>
  <si>
    <t>CDC-ALT-NALINE-2</t>
  </si>
  <si>
    <t xml:space="preserve">PWSP file
NFS-PWSP-PMT-TY-***-C (col 249-260) (Note: *** = Jan, Feb, etc through Dec)
PWAA  file
NFS-PWAA-ADDR-1 (col 49-80)
NFS-PWAA-ADDR-2 (col 81-112)
NFS-PWAA-BNK-NM (col 241)
</t>
  </si>
  <si>
    <t>1. Initialize to low values.
If PWSP-PMT-TY-***-C = A (col 249-260) and PWAA-BNK-NM (col 241) is &gt; spaces move PWAA-ADDR-1 (col 49-80) else move PWAA-ADDR-2 (col 81-112). 
Write account to warning report. (MSGT = 5722).</t>
  </si>
  <si>
    <t xml:space="preserve">1. Initialize to low values.  
</t>
  </si>
  <si>
    <t>CDC-ALT-NALINE-3</t>
  </si>
  <si>
    <t xml:space="preserve">PWSP file
NFS-PWSP-PMT-TY-***-C (col 249-260)
PWAA file
NFS-PWAA-ADDR-2 (col 81-112)
NFS-PWAA-ADDR-3 (col 113-144)
NFS-PWAA-BNK-NM (col 241)
</t>
  </si>
  <si>
    <t>1. Initialize to low values.
If PWSP-PMT-TY-***-C = A (col 249-260) and PWAA-BNK-NM (col 241) is &gt; spaces move PWAA-ADDR-2 (col 81-112) else move PWAA-ADDR-3 (col 113-144). 
Write account to warning report. (MSGT = 5723).</t>
  </si>
  <si>
    <t>CDC-ALT-NALINE-4</t>
  </si>
  <si>
    <t xml:space="preserve">PWSP file
NFS-PWSP-PMT-TY-***-C (col 249-260)
PWAA  file
NFS-PWAA-ADDR-3 (col 113-144)
NFS-PWAA-ADDR-4 (col 145-176)
NFS-PWAA-BNK-NM (col 241)
</t>
  </si>
  <si>
    <t>1. Initialize to low values.
If PWSP-PMT-TY-***-C = A (col 249-260) and PWAA-BNK-NM (col 241) is &gt; spaces move PWAA-ADDR-3 (col 113-144) else move PWAA-ADDR-4 (col 145-176). 
Write account to warning report. (MSGT = 5724).</t>
  </si>
  <si>
    <t>CDC-ALT-NALINE-5</t>
  </si>
  <si>
    <t xml:space="preserve">PWSP file
NFS-PWSP-PMT-TY-***-C (col 249-260)
PWAA file
NFS-PWAA-ADDR-4 (col 145-176)
NFS-PWAA-ADDR-5 (col 177-208)
NFS-PWAA-BNK-NM (col 241)
</t>
  </si>
  <si>
    <t>1. Initialize to low values.
If PWSP-PMT-TY-***-C = A (col 249-260) and PWAA-BNK-NM (col 241) is &gt; spaces move PWAA-ADDR-4 (col 145-176) else move PWAA-ADDR-5 (col 177-208). 
Write account to warning report.  (MSGT = 5725)</t>
  </si>
  <si>
    <t>1. Initialize to low values.
If PWSP-PMT-TY-***-C = A (col 249-260) and PWAA-BNK-NM (col 241) is &gt; spaces move PWAA-ADDR-4 (col 145-176) else move PWAA-ADDR-5 (col 177-208). 
Write account to warning report.  (MSGT = 5725).</t>
  </si>
  <si>
    <t>CDC-ALT-NALINE-6</t>
  </si>
  <si>
    <t xml:space="preserve">PWSP file
NFS-PWSP-PMT-TY-***-C (col 249-260)
PWAA  file
NFS-PWAA-ADDR-5 (col 177-208)
NFS-PWAA-ADDR-6 (col 209-240)
NFS-PWAA-BNK-NM (col 241)
</t>
  </si>
  <si>
    <t>1. Initialize to low values.
If PWSP-PMT-TY-***-C = A (col 249-260) and PWAA-BNK-NM (col 241) is &gt; spaces move PWAA-ADDR-5 (col 177-208) else move PWAA-ADDR-6 (col 209-240). 
Write account to warning report. (MSGT = 5726).</t>
  </si>
  <si>
    <t>X(24)</t>
  </si>
  <si>
    <t>TRAILER</t>
  </si>
  <si>
    <t>CDC-DESC-1</t>
  </si>
  <si>
    <t xml:space="preserve">Check trailer. Prints as the first line of description for retail accounts and the second line of description for retirement accounts.
</t>
  </si>
  <si>
    <t>Required for Retail accounts, Optional for IRAs.</t>
  </si>
  <si>
    <t xml:space="preserve">1. Default to 'PRINCIPAL DISTRIBUTION'
If NAINST NOT = "I'
    Refer to DESC Table
</t>
  </si>
  <si>
    <t>2. If CDC-DIV-CODE (Beg 650) is blank (CDC-JNL-ACCT (Beg 651) and CDC-ACH-ABA (Beg 678) are blank), move ??
If CDC-JNL-ACCT (Beg 651) is populated and CDC-DIV-CODE(Beg 650) is blank, move ??
If CDC-ACH-ABA (Beg 678) is populated and CDC-DIV-CODE (Beg 650) is blank,  move ??</t>
  </si>
  <si>
    <t>3.  Move "?"</t>
  </si>
  <si>
    <t>X(80)</t>
  </si>
  <si>
    <t>ACH ADDENDA INFORMATION</t>
  </si>
  <si>
    <t>CDC-ADDENDA</t>
  </si>
  <si>
    <t xml:space="preserve">Free-form text that will be sent on the ACH file as addendum information to the receiving institution. 
Free-form text that will be sent on the ACH file as addendum information to the receiving institution.
</t>
  </si>
  <si>
    <t>1.  Initialize to low values.</t>
  </si>
  <si>
    <t>9(9)
COMP-3</t>
  </si>
  <si>
    <t>CDC-ADD-CYMD</t>
  </si>
  <si>
    <t>Date on which distribution record was added to DIST</t>
  </si>
  <si>
    <t>1. Set to run date of conversion.</t>
  </si>
  <si>
    <t>9(9)</t>
  </si>
  <si>
    <t>UPDATED</t>
  </si>
  <si>
    <t>CDC-UPDATE-VYMD</t>
  </si>
  <si>
    <t>Date on which last change was made to the distribution record</t>
  </si>
  <si>
    <t>X(3)</t>
  </si>
  <si>
    <t>WHO</t>
  </si>
  <si>
    <t>CDC-UPDATE-WHO</t>
  </si>
  <si>
    <t xml:space="preserve">Initials of person who made the last change to the distribution record
</t>
  </si>
  <si>
    <t>1. Move 'EDP'.</t>
  </si>
  <si>
    <t>X(4)</t>
  </si>
  <si>
    <t>TERM</t>
  </si>
  <si>
    <t>CDC-UPDATE-TERMINAL</t>
  </si>
  <si>
    <t xml:space="preserve">Terminal ID where the last change was made to thedistribution record.
</t>
  </si>
  <si>
    <t>1. Move 'CONV'.</t>
  </si>
  <si>
    <t xml:space="preserve">S9(13)V9 (2)
</t>
  </si>
  <si>
    <t>VAR-AMT</t>
  </si>
  <si>
    <t>CDC-VARIABLE-AMT</t>
  </si>
  <si>
    <t xml:space="preserve">Suggested variable amount of the check for the current period. May be a positive or negative amount and will be added to the fixed check amount in the AMOUNT field to produce the check for the current period.
</t>
  </si>
  <si>
    <t>Typically not converted as it is used to correct an established distribution for one distribution frequency period.  On the CDC Access file, if there is a value within the ODO-AMT field, it will be shown within the CDC-VARIABLE-AMT field.  There is a VAR-AMT field on DIST that is a system calculated suggested variable amount of the distribution - you cannot convert to this field.</t>
  </si>
  <si>
    <t>V</t>
  </si>
  <si>
    <t>MARITAL-STAT</t>
  </si>
  <si>
    <t>CDC-MARITAL-STAT</t>
  </si>
  <si>
    <t>Marital status to be used only if tax is to be withheld based upon the IRS withholding tables.
(Not currently used)
Valid values:
M- Married
S- Single</t>
  </si>
  <si>
    <t>IRAs ONLY.</t>
  </si>
  <si>
    <t>STATE</t>
  </si>
  <si>
    <t>CDC-STATE-CODE</t>
  </si>
  <si>
    <t xml:space="preserve">State code for the customer's legal state of residence for state income tax withholding.  Pulled from STATE field on ACCT.
</t>
  </si>
  <si>
    <t xml:space="preserve">From Adds After File:
NA-STATE-CODE (Beg 369-370)
DIST-CDC-WITH-CODE-2 (Beg 299)
 </t>
  </si>
  <si>
    <t>IRAs ONLY.
SILO</t>
  </si>
  <si>
    <t>1.  If  DIST-CDC-WITH-CODE-2 (Beg 299) is not spaces or zeroes, From ACCT Adds After file, move NA-STATE-CODE (Beg 369-370).</t>
  </si>
  <si>
    <t>DIV</t>
  </si>
  <si>
    <t>CDC-DIV-CODE</t>
  </si>
  <si>
    <t xml:space="preserve">Dividend income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</si>
  <si>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1.  Initialize to low values.  
If CDC-FREQUENCY (beg 239) is populated, move 'X'.  </t>
  </si>
  <si>
    <t>JNL TO A/C</t>
  </si>
  <si>
    <t>CDC-JNL-ACCT</t>
  </si>
  <si>
    <t>"Journal to" account number = Old (original) account number.
 Rather than generating a check, money will be journaled to this alternate account.</t>
  </si>
  <si>
    <t>PWSP file
NFS-PWSP-PMT-TY-***-C (col 249-260)
NFS-PWSP-DIRC-BRCH-C (col 81-83)
NFS-PWSP-DIRC-BASE-C (col 84-89)</t>
  </si>
  <si>
    <t>Add value for ??</t>
  </si>
  <si>
    <t>INT</t>
  </si>
  <si>
    <t>CDC-INT-CODE</t>
  </si>
  <si>
    <t xml:space="preserve">Interest income indicator                                                
 X = Income generated with certain source codes will either be added to dividend/interest balanceon CLED or the VAR-AMT field on DIST and paid out according to the FREQ  field  on DIST.
R = Income generated with certain source codes will be added to the dividend interest balance on CLED or the VAR-AMT field on DIST.  The system will create a real-time check, ACH or journal entries.
</t>
  </si>
  <si>
    <t xml:space="preserve">1.  Initialize to low values.  
If CDC-FREQUENCY (beg 239) is populated move 'X'.  </t>
  </si>
  <si>
    <t>OTHER</t>
  </si>
  <si>
    <t>CDC-OTHER-INCOME</t>
  </si>
  <si>
    <t xml:space="preserve">Other income indicator                                              X = Income generated with source codes other than the usual dividend and interest codes will either be added to dividend/interest balanceon CLED or the VAR-AMT field on DIST and paid out according to the FREQ  field  on DIST.
</t>
  </si>
  <si>
    <t>FC-BAL</t>
  </si>
  <si>
    <t>CDC-FREE-CREDIT</t>
  </si>
  <si>
    <t>Free credit balance indicator                                               
X = Check should be cut for entire free credit balance amount.
Blank = AMOUNT field will be used to determine the amount of the check.</t>
  </si>
  <si>
    <t>CAP</t>
  </si>
  <si>
    <t>CDC-CAP-GAINS</t>
  </si>
  <si>
    <t xml:space="preserve">Capital gains distribution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</si>
  <si>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1.  Initialize to low values.
If CDC-FREQUENCY (beg 239) is populated, move 'X'.  </t>
  </si>
  <si>
    <t>TYPE</t>
  </si>
  <si>
    <t>CDC-JNL-ACCTTYPE</t>
  </si>
  <si>
    <t>BETA account type of the "journal to" account number</t>
  </si>
  <si>
    <t>PWSP file
NSF-PWSP-PMT-TY-***-C = D (col 249-260)</t>
  </si>
  <si>
    <t>Value of 'D'  = journal account on NFS</t>
  </si>
  <si>
    <t>1.  Initialize to low values.  
If PWSP-PMT-TY-***-C = D (col 249-260), move 1</t>
  </si>
  <si>
    <t>CDC-JNL-SOURCE</t>
  </si>
  <si>
    <t>Source code to be used on the credit entry to the "journal to" account number                                                    (Usually 'JNL' for money, 'JRL' for stocks)</t>
  </si>
  <si>
    <t xml:space="preserve">Value of 'D'  = journal account on NFS
</t>
  </si>
  <si>
    <t>1.  Initialize to low values.  
If PWSP-PMT-TY-***-C = D (col 249-260), move '???'</t>
  </si>
  <si>
    <t>2. Initialize to low values.
If CDC-JNL-ACCT (beg 651) &gt; zero's and NAINST (beg 413) of CDC-JCL-ACCT = I (col 651), move 'IRACC'.
If CDC-JNL-ACCT (beg 651) &gt; zero's and NAINST (beg 413) of CDC-JCL-ACCT not = I (col 651), move 'JNL'.</t>
  </si>
  <si>
    <t>PRIN</t>
  </si>
  <si>
    <t>CDC-PRIN</t>
  </si>
  <si>
    <t xml:space="preserve">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</si>
  <si>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ROC</t>
  </si>
  <si>
    <t>CDC-ROC</t>
  </si>
  <si>
    <t xml:space="preserve">Return of capital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</si>
  <si>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PDST</t>
  </si>
  <si>
    <t>CDC-PDST</t>
  </si>
  <si>
    <t xml:space="preserve">Partnership distribution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</si>
  <si>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ROP</t>
  </si>
  <si>
    <t>CDC-ROP</t>
  </si>
  <si>
    <t xml:space="preserve">Return of 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</si>
  <si>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LIQ</t>
  </si>
  <si>
    <t>CDC-LIQ</t>
  </si>
  <si>
    <t xml:space="preserve">Liquidation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</si>
  <si>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DDIV</t>
  </si>
  <si>
    <t>CDC-DDIV</t>
  </si>
  <si>
    <t xml:space="preserve">Dividends received from securities held outside the firm indicator                                                  
X = Any dividends received from securities held outside the firm that are entered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</si>
  <si>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MM-INT</t>
  </si>
  <si>
    <t xml:space="preserve">CDC-MMF-DIV
</t>
  </si>
  <si>
    <t xml:space="preserve">Money market fund interest indicator.
(Not currently used)                                                              
</t>
  </si>
  <si>
    <t>MM-BAL</t>
  </si>
  <si>
    <t>CDC-MMF-BAL</t>
  </si>
  <si>
    <t>Money market fund balance indicator                                                                       
X = Entire money market fund balance will either be added to dividend/interest balance on CLED or the VAR-AMT field on DIST and paid out according to the FREQ  field  on DIST</t>
  </si>
  <si>
    <t>ABA#</t>
  </si>
  <si>
    <t xml:space="preserve">CDC-ACH-ABA
</t>
  </si>
  <si>
    <t xml:space="preserve">Customer bank's ACH identification number for transmissions.                                             
</t>
  </si>
  <si>
    <t xml:space="preserve">PWSP file 
NFS-PWSP-PMT-TY-***-C (col 249-260)
PWFU file
NFS-PWFU-PLN-ID (col 1-9) 
NFS-PWFU-PLN-SQ-N 
(col 11-12)
NFS-PWFU-EFT-SUFX 
(col 42-43)
ICP file 
NFS-ICP-ES-SI-TYPE 
(col 8-9) 
NFS-ICP-ES-STG-INSN-ID (col 10-29)
NFS-ICP-ES-ABA-ID 
(col 901-909)
</t>
  </si>
  <si>
    <t>FARM CASH - VERIFY ACH INSTR</t>
  </si>
  <si>
    <t>1. Initialize to low values. 
If ICP-ES-SI-TYPE = ES (col 8-9), move ICP-ES-ABA-ID (col 901-909) if &gt; 0.</t>
  </si>
  <si>
    <t>X(17)</t>
  </si>
  <si>
    <t>ACT#</t>
  </si>
  <si>
    <t>CDC-ACH-ACT</t>
  </si>
  <si>
    <t>Customer's checking or savings account number at the bank.</t>
  </si>
  <si>
    <t xml:space="preserve">PWSP file 
NFS-PWSP-PMT-TY-***-C (col 249-260)
PWFU file
NFS-PWFU-PLN-ID (col 1-9) 
NFS-PWFU-PLN-SQ-N 
(col 11-12)
NFS-PWFU-EFT-SUFX 
(col 42-43)
ICP file 
NFS-ICP-ES-SI-TYPE 
(col 8-9)
NFS-ICP-ES-STG-INSN-ID (col 10-29)
NFS-ICP-ES-BEN-ACC-ID (col 1022-1038)
</t>
  </si>
  <si>
    <t>1.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ICP-ES-BEN-ACC-ID (col 1022-1038).</t>
  </si>
  <si>
    <t>1. Initialize to low values.   
If CDC-ACH-ABA (beg 678) is &gt; 0 and ICP-ES-SI-TYPE = ES (col 8-9), move ICP-ES-BEN-ACC-ID (col 1022-1038).</t>
  </si>
  <si>
    <t>1. Initialize to low values.   
If CDC-ACH-ABA (beg 678) is &gt; 0 and ICP-ES-SI-TYPE = ES (col 8-9), move NFS-ICP-ES-BEN-ACC-ID (col 1022-1038).</t>
  </si>
  <si>
    <t>CHK/SAV</t>
  </si>
  <si>
    <t>CDC-ACH-CHK-SAV</t>
  </si>
  <si>
    <t>Bank account type indicator 
Valid values:                                               
C- Checking 
S- Savings
L - Loan</t>
  </si>
  <si>
    <t xml:space="preserve">PWSP file 
NFS-PWSP-PMT-TY-***-C (col 249-260)
PWFU file
NFS-PWFU-PLN-ID (col 1-9) 
NFS-PWFU-PLN-SQ-N 
(col 11-12)
NFS-PWFU-EFT-SUFX 
(col 42-43)
ICP file 
NFS-ICP-ES-SI-TYPE 
(col 8-9) 
NFS-ICP-ES-STG-INSN-ID (col 10-29)
NFS-ICP-ES-BEN-ACC-TY-C (col 1039)
</t>
  </si>
  <si>
    <t>1.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ICP-ES-BEN-ACC-TY-C (col 1039).</t>
  </si>
  <si>
    <t>1. Initialize to low values.   
If CDC-ACH-ABA (beg 678) is &gt; 0 and ICP-ES-SI-TYPE = ES (col 8-9), move ICP-ES-BEN-ACC-TY-C (col 1039).</t>
  </si>
  <si>
    <t>X(22)</t>
  </si>
  <si>
    <t xml:space="preserve">NAME </t>
  </si>
  <si>
    <t>CDC-ACH-CUST-NAME</t>
  </si>
  <si>
    <t>Customer name as it will appear on screen and reports</t>
  </si>
  <si>
    <t xml:space="preserve">PWSP file 
NFS-PWSP-PMT-TY-***-C (col 249-260)
PWFU file
NFS-PWFU-PLN-ID (col 1-9) 
NFS-PWFU-PLN-SQ-N 
(col 11-12)
NFS-PWFU-EFT-SUFX 
(col 42-43)
ICP file 
NFS-ICP-ES-STG-INSN-ID (col 10-29)
NFS-ICP-ES-SI-TYPE
NFS-ICP-ES-BEN-NM 
(col 1000-1021)
</t>
  </si>
  <si>
    <t>PWSP of E = ACH</t>
  </si>
  <si>
    <t>1. Initialize to low values.   
If CDC-ACH-ABA (beg 678) is &gt; 0 and if PWSP-PMT-TY-***-C = E (col 249-260):  join files using PWSP-PLN-ID (col 1-9) and PWSP-PLN-SQ-N (col 11-12),  PWFU-PLN-ID (col 1-9) and PWFU-PLN-SQ-N (col 11-12), retrieve PWFU-EFT-SUFX (col 42-43). 
Using PWFU-PLN-ID (col 1-9) + PWFU-EFT-SUFX (col 11-12), cross-reference those values to ICP-ES-STG-INSN-ID (col 10-29) to find corresponding  record, move ICP-ES-BEN-NM (col 1000-1021).</t>
  </si>
  <si>
    <t xml:space="preserve">2. Initialize to low values. 
If CDC-ACH-ABA (beg 504) is numeric and greater than zero and PWSP-PMT-TY-***-C = E (col 249-260), move NA-KEY1 (beg 235-258) 
else
if ICP-ES-BEN-NM (col 1000-1021) not equal to spaces
  Move ICP-ES-BEN-NM (col 1000-1021).
</t>
  </si>
  <si>
    <t>1. Initialize to low values. 
If CDC-ACH-ABA (beg 678) is &gt; 0 and ICP-ES-SI-TYPE = ES (col 8-9), move ICP-ES-BEN-NM (col 1000-1021).</t>
  </si>
  <si>
    <t xml:space="preserve">2. Initialize to low values. 
If CDC-ACH-ABA (beg 504) is numeric and greater than zero and ICP-ES-SI-TYPE = ES (col 8-9),
move NA-KEY1 (beg 235-258) 
else
if ICP-ES-BEN-NM (col 1000-1021) not equal to spaces
  Move ICP-ES-BEN-NM (col 1000-1021).
</t>
  </si>
  <si>
    <t>MAIL ADVICE</t>
  </si>
  <si>
    <t>CDC-ACH-MAIL-ADVISE</t>
  </si>
  <si>
    <t>Indicates whether to send mail advises for ACH transactions to this customer.
Valid values:
N = Mail advises will not be sent to the customer 
Y = Send mail advises to customer
If this field is left blank, it will default to the code entered in the ACH MAIL ADV DEFAULT field on FARM CASH.
Valid values:
N = Mail advises will not be sent to the customer
Y = Send mail advises to customer
If this field is left blank, it will default to the code entered in the ACH MAIL ADV DEFAULT field on FARM CASH.</t>
  </si>
  <si>
    <t>PWSP file
NSF-PWSP-PMT-TY-***-C = E (col 249-260)</t>
  </si>
  <si>
    <t>FARM CASH 
ACH MAIL ADV DEFAULT
If this field is left blank, it will default to the code entered in the ACH MAIL ADV DEFAULT field on FARM CASH.
PWSP of E = ACH</t>
  </si>
  <si>
    <t>PRENOTE</t>
  </si>
  <si>
    <t>CDC-ACH-PRENOTE-CYMD</t>
  </si>
  <si>
    <t>Date that prenotification was sent.</t>
  </si>
  <si>
    <t>LIVE</t>
  </si>
  <si>
    <t>CDC-ACH-LIVE-CYMD</t>
  </si>
  <si>
    <t>Date that live transmission may begin.</t>
  </si>
  <si>
    <t>CDC-ACH-ABA (beg 678)</t>
  </si>
  <si>
    <t>Must be set to a date after the Financial conversion</t>
  </si>
  <si>
    <t xml:space="preserve">1. Initialize to low values. 
If CDC-ACH-ABA (beg 678) is &gt; 0, set to first business day after Financial conversion. </t>
  </si>
  <si>
    <t>TID</t>
  </si>
  <si>
    <t>CDC-TAXID-FORMAT</t>
  </si>
  <si>
    <t xml:space="preserve">Tax identification number format
Valid values:
blank - SSN
X = EIN       
</t>
  </si>
  <si>
    <t>1. From ACCT Adds after file: If NAINST (beg 413) = I and NAIDFORMAT (beg 379) from ACCT = '-' move 'X' else move space.</t>
  </si>
  <si>
    <t>2.  Initialize to Low values.</t>
  </si>
  <si>
    <t>TRN#</t>
  </si>
  <si>
    <t>CDC-ACH-TRANS-NO</t>
  </si>
  <si>
    <t xml:space="preserve">ACH Transmission number.   For firms with multiple daily transmissions to ACH, the transmission number on which the account is included.                                        
Default value is zero; valid values are 0-9 but are dependent on multiple transmissions being defined on ABAM.
</t>
  </si>
  <si>
    <t>FARM CASH - VERIFY ACH INSTR
ABAM
Will be set to '0'</t>
  </si>
  <si>
    <t>CINT</t>
  </si>
  <si>
    <t>CDC-CINTR</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</si>
  <si>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Blank = not applicable</t>
  </si>
  <si>
    <t>GRP</t>
  </si>
  <si>
    <t>CDC-ACH-PRENOTE-KEY</t>
  </si>
  <si>
    <t>9(3)</t>
  </si>
  <si>
    <t>CDC-ACH-PRENOTE-FIRM</t>
  </si>
  <si>
    <t>Firm number on the distribution record</t>
  </si>
  <si>
    <t xml:space="preserve">2.  Move CDC-FIRM.          </t>
  </si>
  <si>
    <t>CDC-ACH-PRENOTE-ACCT</t>
  </si>
  <si>
    <t>Account number on the distribution record</t>
  </si>
  <si>
    <t>2. Move CDC-ACCT (beg 205).</t>
  </si>
  <si>
    <t>MAT</t>
  </si>
  <si>
    <t>CDC-MAT</t>
  </si>
  <si>
    <t xml:space="preserve">Maturity.
Valid values:
Blank- Do not capture the principle payments on maturing securities.
R = Capture for tonight's processing, from the real time system.
X = Capture for the next processing cycle.
</t>
  </si>
  <si>
    <t>S9(13)v99</t>
  </si>
  <si>
    <t>ODO-AMT</t>
  </si>
  <si>
    <t>CDC-ODO-AMT</t>
  </si>
  <si>
    <t xml:space="preserve">One distribution only adjustment for the current period.  Typically not converted. </t>
  </si>
  <si>
    <t>9(4)</t>
  </si>
  <si>
    <t>MIN$</t>
  </si>
  <si>
    <t>CDC-ADVICE-MIN-AMT</t>
  </si>
  <si>
    <t>Used to identify the minimum dollar amount for which mail advices will be sent to the customer.  Account level override to FARM CASH.</t>
  </si>
  <si>
    <t>FARM CASH  
MIN$</t>
  </si>
  <si>
    <t>CDC-DSI</t>
  </si>
  <si>
    <t>CDC-OLD-DSI</t>
  </si>
  <si>
    <t>CDC-DESC-2</t>
  </si>
  <si>
    <t xml:space="preserve">Check trailer. Prints as a line of description for regular accounts and the second line of description for retirement accounts. (Required for regular accounts.) If completed, checks are made payable to and mailed to this name and address. 
(Not currently used)
</t>
  </si>
  <si>
    <t>CDC-DESC-3</t>
  </si>
  <si>
    <t>X(8)</t>
  </si>
  <si>
    <t>CDC-UPDATE-RACF-ID</t>
  </si>
  <si>
    <t xml:space="preserve">RACF userid.  Normally system-generated.  </t>
  </si>
  <si>
    <t xml:space="preserve">1. Move 'EDP'.
</t>
  </si>
  <si>
    <t>Move "?"</t>
  </si>
  <si>
    <t>CDC-UPDATE-SOURCE</t>
  </si>
  <si>
    <t xml:space="preserve">‘DIST’ -- online entry/update
‘BLSERVER’ -- BLSERVER entry/update
</t>
  </si>
  <si>
    <t>X(1)</t>
  </si>
  <si>
    <t>TOP</t>
  </si>
  <si>
    <t xml:space="preserve">CDC-PAYEE-TYPE
</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</si>
  <si>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</si>
  <si>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t>PWSP file
NSF-PWSP-PMT-TY-***-C = A (col 249-260)</t>
  </si>
  <si>
    <t>Required if ALTERNATE NAME&amp;ADDR fields are populated
Value used by most firms is 'A'
NFS = A is alternate N&amp;A</t>
  </si>
  <si>
    <t xml:space="preserve">1. Default  to  ?
IF DIST-CDC-ALT-NALINE-1 &gt; SPACES,  Move "?"
</t>
  </si>
  <si>
    <t xml:space="preserve">2. Initialize to low values.  
If PWSP-PMT-TY-***-C = A (col 249-260), Move ?
</t>
  </si>
  <si>
    <r>
      <t xml:space="preserve">TOB 
</t>
    </r>
    <r>
      <rPr>
        <b/>
        <i/>
        <sz val="9"/>
        <color indexed="8"/>
        <rFont val="Arial"/>
        <family val="2"/>
      </rPr>
      <t>(ACH INFORMATION)</t>
    </r>
  </si>
  <si>
    <t xml:space="preserve">CDC-ACH-BENEFICIARY-TYP
</t>
  </si>
  <si>
    <t xml:space="preserve">Indicates the type of beneficiary for the receiving bank account. 
Valid values:
Blank-Beneficiary type code does not apply.
A- same name and address as brokerage account holder of record 
B- third-party domestic individual 
C- third-party foreign individual 
D- third-party domestic institution 
E- third-party foreign institution 
F- The beneficiary has the same name, but different address, as the brokerage account holder of record. 
G- The beneficiary is an approved alternative investment or domestic financial institution for the client's benefit.
H- The beneficiary has a different registration from the brokerage account holder of record.
</t>
  </si>
  <si>
    <t>PWSP file
NSF-PWSP-PMT-TY-***-C = E (col 249-260)
ICP file
NFS-ICP-ES-SI-TYPE = ES (col 8-9)</t>
  </si>
  <si>
    <t>NOTE: Required if CDC-ABA field is populated.
Value used by most firms is 'A'.
NFS = E is ACH
NFS = ES is variable ACH</t>
  </si>
  <si>
    <t>2. Initialize to low values.
If ICP-ES-SI-TYPE = ES (col 8-9),  move '?'</t>
  </si>
  <si>
    <t xml:space="preserve">1. If  DIST-CDC-ACH-ABA NUMERIC and  DIST-CDC-ACH-ABA &gt; ZERO                    
    move '?' as default.
Else 
   move  "?" as default.   </t>
  </si>
  <si>
    <t>2. Initialize to low values.
If PWSP-PMT-TY-***-C = E (col 249-260), move ?"</t>
  </si>
  <si>
    <t xml:space="preserve">TOB  
(For JNL to A/C) </t>
  </si>
  <si>
    <t>CDC-JNL-BENEFICIARY-TYP</t>
  </si>
  <si>
    <t xml:space="preserve">Indicates the type of beneficiary for for the alternate account. 
Valid values:
Blank- Beneficiary type code does not apply.
A- same name and address as brokerage account holder of record 
B- third-party domestic individual 
C- third-party foreign individual 
D- third-party domestic institution 
E- third-party foreign institution 
F- Beneficiary has the same name, but different address, as the brokerage account holder of record.
G- The beneficiary is an approved alternative investment or domestic financial institution for the client's benefit.
H- Beneficiary has a different registration from the brokerage account holder of record.
</t>
  </si>
  <si>
    <t xml:space="preserve">PWSP file
NFS-PWSP-PMT-TY-***-C (col 249-260)
</t>
  </si>
  <si>
    <t>Required if there is an account number in the JNL TO A/C field.
Value used by most firms is to move 'H' if CDC-SOURCE = JNL or IRACC
When this field is coded A or F, it works in conjunction with the JNL TXID field on FARM DIST as follows:
 If the JNL TXID field is coded Y, the tax identification number in ACCT or DAML must be the same for the to and from accounts.
 If the JNL TXID field is coded N, the tax identification number in ACCT or DAML does not need to be the same for the to and from accounts.</t>
  </si>
  <si>
    <t xml:space="preserve">1. Initialize to low values.  
If CDC-JNL-ACCT (beg 651) is &gt; 0 
and if PWSP-PMT-TY-***-C  = D (249-260) and CDCJNL-SOURCE (beg 665) = 'JNL" or "???', move '?'
</t>
  </si>
  <si>
    <t>RMD</t>
  </si>
  <si>
    <t>CDC-RMD-IND</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</si>
  <si>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t>
  </si>
  <si>
    <t>IRAs ONLY.
MDRO conversion is a contingency else the RMD-IND field must be set to low values</t>
  </si>
  <si>
    <t>1. initialize to low values.</t>
  </si>
  <si>
    <t>CDC-INQ-PERSPECTIVE</t>
  </si>
  <si>
    <t>CDC-ORIGIN-ID</t>
  </si>
  <si>
    <t>BLServer-related field - not for conversion</t>
  </si>
  <si>
    <t>X(12)</t>
  </si>
  <si>
    <t>CDC-EXTERNAL-RID</t>
  </si>
  <si>
    <t>CDC-ALT-NA-DESC</t>
  </si>
  <si>
    <t>CDC-ACCT-TYPE</t>
  </si>
  <si>
    <t xml:space="preserve">BETA Account type code.    
Valid values:
0-Pending distribution.
1-Cash account.
2-Margin account.
3-TEFRA withholding buffer account.
4-When-issued cash account.
5-Firm-specified.
6-Short margin account.
7-Firm-defined.
8-Firm-defined.
9-Firm-defined.
</t>
  </si>
  <si>
    <t>1. Move '1'.</t>
  </si>
  <si>
    <t xml:space="preserve">9(5)
</t>
  </si>
  <si>
    <t>CDC-CRNCY-SEQNO</t>
  </si>
  <si>
    <t>Currency sequence number                                       (defaults to US dollars)</t>
  </si>
  <si>
    <t>CDC-PROCESS-CYMD</t>
  </si>
  <si>
    <t>(Not currently used)</t>
  </si>
  <si>
    <t>CDC-VAR-CYMD</t>
  </si>
  <si>
    <t>Date on which the variable amount was updated.  Not for conversion.
(Not currently used)</t>
  </si>
  <si>
    <t>CDC-CHECK-STATUS-IND</t>
  </si>
  <si>
    <t>CYCLE-DATE</t>
  </si>
  <si>
    <t xml:space="preserve">CDC-BEGIN-DD2
</t>
  </si>
  <si>
    <t xml:space="preserve">2nd day of the month that correspondens with the frequency of Semi-monthly.  This will show the days DATE (ex: if the calculated calendar date = 1/15/2010 this field would display ‘15’)
Valid Values:
LB = Semi-monthly check distributions will take place on the last business day.
02-31- Second day of the month upon which semi-monthly check distributions will take place.
</t>
  </si>
  <si>
    <t xml:space="preserve">Required if CDC-FREQUENCY = E.  
'DAY' must be less than the 'day' in CDC-BEGIN-CYMD (beg 29), if left as spaces engine will calculate to last business day.
</t>
  </si>
  <si>
    <t xml:space="preserve">1.  Initialize to low values.  
</t>
  </si>
  <si>
    <t>CT</t>
  </si>
  <si>
    <t xml:space="preserve">CDC-CHECK-TYPE
</t>
  </si>
  <si>
    <t>Firm-defined type of check to be printed.</t>
  </si>
  <si>
    <t xml:space="preserve">1.  Initialize to low values.  
</t>
  </si>
  <si>
    <t>SEC</t>
  </si>
  <si>
    <t>CDC-TRANS-FORMAT</t>
  </si>
  <si>
    <r>
      <t xml:space="preserve">Valid values: 
</t>
    </r>
    <r>
      <rPr>
        <u/>
        <sz val="9"/>
        <rFont val="Arial"/>
        <family val="2"/>
      </rPr>
      <t>Value</t>
    </r>
    <r>
      <rPr>
        <sz val="9"/>
        <rFont val="Arial"/>
        <family val="2"/>
      </rPr>
      <t xml:space="preserve">    </t>
    </r>
    <r>
      <rPr>
        <u/>
        <sz val="9"/>
        <rFont val="Arial"/>
        <family val="2"/>
      </rPr>
      <t>Shown online</t>
    </r>
    <r>
      <rPr>
        <sz val="9"/>
        <rFont val="Arial"/>
        <family val="2"/>
      </rPr>
      <t xml:space="preserve">
C              CCD 
Y              WEB
T              TEL
N             PPD  (default)
</t>
    </r>
  </si>
  <si>
    <t>1.  Initialize to low values.
If CDC-ACH-ABA (beg 678) is &gt; 0, move 'N'.</t>
  </si>
  <si>
    <t>1.  Initialize to low values.
If CDC-ACH-ABA (beg 678) is &gt; 0, set to N.</t>
  </si>
  <si>
    <t>POE</t>
  </si>
  <si>
    <t>CDC-ENTRY-SOURCE</t>
  </si>
  <si>
    <t xml:space="preserve">Source of ACH Transaction 
Valid values:
EFT   (default)
WEB
IVR
</t>
  </si>
  <si>
    <t>1.  Initialize to low values.
If CDC-ACH-ABA (beg 678) is &gt; 0, move 'EFT'.</t>
  </si>
  <si>
    <t>1.  Initialize to low values.
If CDC-ACH-ABA (beg 678) is &gt; 0, set to EFT.</t>
  </si>
  <si>
    <t>X(16)</t>
  </si>
  <si>
    <t>AUTH</t>
  </si>
  <si>
    <t>CDC-CUSTOMER-AUTH</t>
  </si>
  <si>
    <t xml:space="preserve">Customer Authorization 
Valid values:
CUST AUTHORIZED 
Spaces 
</t>
  </si>
  <si>
    <t>If POE field = EFT, this field must be spaces</t>
  </si>
  <si>
    <t>CLIENT MEMO</t>
  </si>
  <si>
    <t>CDC-CLIENT-MEMO</t>
  </si>
  <si>
    <t>MEMO field where it can be used to add a note describing the transaction.  Information entered in the MEMO field will flow to the MEMO field on MACH for the transaction.</t>
  </si>
  <si>
    <t>CDC-STATUS</t>
  </si>
  <si>
    <t xml:space="preserve">Indicates the status of an account distribution.
Valid values:
A or Blank- The distribution is in active status and will be processed on the next payment date.
S- The distribution is in suspend status and will not be processed on the next payment date. </t>
  </si>
  <si>
    <t>Automatically updated if WRAP PRM2 - SUSPEND PERIODIC DIST = Y</t>
  </si>
  <si>
    <t>X(9)</t>
  </si>
  <si>
    <t>PAY</t>
  </si>
  <si>
    <t>CDC-PAY-CYMD</t>
  </si>
  <si>
    <t>This field displays the next payable date based on the begin cycle date and frequency.</t>
  </si>
  <si>
    <t>CDC-ST-MARITAL-STAT</t>
  </si>
  <si>
    <t>Marital status - used only if tax is to be withheld based upon the IRS withholding tables.
(Not currently used for withholding calculations)
M = Married
S = Single
Valid values:
M- Married
S- Single</t>
  </si>
  <si>
    <t>CDC-WITH-ALLOWANCE-2</t>
  </si>
  <si>
    <t xml:space="preserve">Number of state allowances claimed by the customer.
(not currently used)
</t>
  </si>
  <si>
    <t>CDC-INQUIRY-SCOPE</t>
  </si>
  <si>
    <t>Not for conversion.   Reserved for future use 10/2018.</t>
  </si>
  <si>
    <t>CDC-DIST-ALTER-ID</t>
  </si>
  <si>
    <t>Not for conversion.   Reserved for future use 11/2018.</t>
  </si>
  <si>
    <t>ITEM NO</t>
  </si>
  <si>
    <t>CDC-PINS-ITEM-NO</t>
  </si>
  <si>
    <t xml:space="preserve">PINS Item Number </t>
  </si>
  <si>
    <t>New Field in development for new UI. 7/5/2021</t>
  </si>
  <si>
    <t>1. Initailize to low values</t>
  </si>
  <si>
    <t xml:space="preserve">9(3) </t>
  </si>
  <si>
    <t>CDC-AINS-ITEM-NO</t>
  </si>
  <si>
    <t xml:space="preserve">AINS Item Number </t>
  </si>
  <si>
    <t>CHECK MEMO</t>
  </si>
  <si>
    <t>CDC-CHECK-MEMO</t>
  </si>
  <si>
    <t>CHECK MEMO Field</t>
  </si>
  <si>
    <t>x(2547</t>
  </si>
  <si>
    <t>FILLER</t>
  </si>
  <si>
    <t>Frequency Description</t>
  </si>
  <si>
    <t>PWSP-PRCS-JAN-I
(col 237)</t>
  </si>
  <si>
    <t>PWSP-PRCS-FEB-I
(col 238)</t>
  </si>
  <si>
    <t>PWSP-PRCS-MAR-I
(col 239)</t>
  </si>
  <si>
    <t>PWSP-PRCS-APR-I
(col 240)</t>
  </si>
  <si>
    <t>PWSP-PRCS-MAY-I
(col 241)</t>
  </si>
  <si>
    <t>PWSP-PRCS-JUN-I
(col 242)</t>
  </si>
  <si>
    <t>PWSP-PRCS-JUL-I
(col 243)</t>
  </si>
  <si>
    <t>PWSP-PRCS-AUG-I
(col 244)</t>
  </si>
  <si>
    <t>PWSP-PRCS-SEP-I
(col 245)</t>
  </si>
  <si>
    <t>PWSP-PRCS-OCT-I
(col 246)</t>
  </si>
  <si>
    <t>PWSP-PRCS-NOV-I
(col 247)</t>
  </si>
  <si>
    <t>PWSP-PRCS-DEC-I
(col 248)</t>
  </si>
  <si>
    <t>CDC-FREQUENCY
(beg 239)</t>
  </si>
  <si>
    <r>
      <t xml:space="preserve">      </t>
    </r>
    <r>
      <rPr>
        <b/>
        <sz val="11"/>
        <color indexed="8"/>
        <rFont val="Calibri"/>
        <family val="2"/>
      </rPr>
      <t>MONTH</t>
    </r>
    <r>
      <rPr>
        <sz val="11"/>
        <color theme="1"/>
        <rFont val="Calibri"/>
        <family val="2"/>
        <scheme val="minor"/>
      </rPr>
      <t xml:space="preserve">
CDC-BEGIN-CYMD
(beg 245-246)</t>
    </r>
  </si>
  <si>
    <r>
      <t xml:space="preserve">        </t>
    </r>
    <r>
      <rPr>
        <b/>
        <sz val="11"/>
        <color indexed="8"/>
        <rFont val="Calibri"/>
        <family val="2"/>
      </rPr>
      <t>YEAR</t>
    </r>
    <r>
      <rPr>
        <sz val="11"/>
        <color theme="1"/>
        <rFont val="Calibri"/>
        <family val="2"/>
        <scheme val="minor"/>
      </rPr>
      <t xml:space="preserve">
CDC-BEGIN-CYMD
(beg 240-244)</t>
    </r>
  </si>
  <si>
    <t>Return to Mapping</t>
  </si>
  <si>
    <t>ANNUAL</t>
  </si>
  <si>
    <t>SEMI-ANNUAL</t>
  </si>
  <si>
    <t>JAN/JULY</t>
  </si>
  <si>
    <t>FEB/AUG</t>
  </si>
  <si>
    <t>MAR/SEPT</t>
  </si>
  <si>
    <t>APR/OCT</t>
  </si>
  <si>
    <t>MAY/NOV</t>
  </si>
  <si>
    <t>JUN/DEC</t>
  </si>
  <si>
    <t>QUARTERLY</t>
  </si>
  <si>
    <t>Q</t>
  </si>
  <si>
    <t>MONTHLY</t>
  </si>
  <si>
    <t xml:space="preserve">DAY for CDC-BEGIN-CYMD (beg 247-248):   If the NFS-PWSP-PRCS-DY-N (col 64-65) is equal “99” or '0'  use the day field from the NFS-PWSP-LST-SWP-DATE (col 213-222) field.  If an invalid day is found (i.e. “31” in February) reject record and print on reject report.  </t>
  </si>
  <si>
    <t>Retail Accounts  (NAINST (beg 413) not = I)</t>
  </si>
  <si>
    <t>CDC-SOURCE (beg 232)</t>
  </si>
  <si>
    <t>PSWP file 
NFS-PWSP-MNEM 
(col 52-54)</t>
  </si>
  <si>
    <t>PSWP file
NFS-PWSP-PMT-TY-***-C 
(col 249-260)</t>
  </si>
  <si>
    <t>CDC-SOURCE
(beg 232)</t>
  </si>
  <si>
    <t>WARNING
Y/N</t>
  </si>
  <si>
    <t>default</t>
  </si>
  <si>
    <t>JNL</t>
  </si>
  <si>
    <t>CCHK</t>
  </si>
  <si>
    <t>Retail - Check Paid</t>
  </si>
  <si>
    <t>ACH</t>
  </si>
  <si>
    <t>Retail - EFT</t>
  </si>
  <si>
    <t>The preference is to not use this table. Most firms pull the CDC-SOURCE from the IRAS DSTRBTN SORC field which pulls from LRPT.</t>
  </si>
  <si>
    <t>Transfer - Retail</t>
  </si>
  <si>
    <t>C or A</t>
  </si>
  <si>
    <t>IRA Accounts  (NAINST (beg 413) = I)</t>
  </si>
  <si>
    <t>REG</t>
  </si>
  <si>
    <t>PREM</t>
  </si>
  <si>
    <t>Early Distribution - IRA</t>
  </si>
  <si>
    <t>DEC2</t>
  </si>
  <si>
    <t>Death Distribution - IRA</t>
  </si>
  <si>
    <t>Normal Distribution - IRA</t>
  </si>
  <si>
    <t>Premature Distrubution - IRA</t>
  </si>
  <si>
    <t>WTRF</t>
  </si>
  <si>
    <t>Transfer - IRA</t>
  </si>
  <si>
    <t>NFS descriptions in PMT-TY-*** fields:</t>
  </si>
  <si>
    <t>C = Check</t>
  </si>
  <si>
    <t>A = Check to alternate address</t>
  </si>
  <si>
    <t>E = EFT</t>
  </si>
  <si>
    <t>D = Directed</t>
  </si>
  <si>
    <t>L = Liquidation to core fund</t>
  </si>
  <si>
    <t>I = IBP</t>
  </si>
  <si>
    <t>If there are 'spaces' in the NFS-PWSP-PMT-TY-***-C column, this field is not used to determine CDC-SOURCE.</t>
  </si>
  <si>
    <t xml:space="preserve">If CDC-FREQUENCY
(beg 232) = </t>
  </si>
  <si>
    <t>Move to CDC-DESC-1 
(beg 503)</t>
  </si>
  <si>
    <t>Principal Distribution</t>
  </si>
  <si>
    <t>Monthly Distribution</t>
  </si>
  <si>
    <t>Annual Distribution</t>
  </si>
  <si>
    <t>Quarterly Distribution</t>
  </si>
  <si>
    <t>Semi-Annual Distribution</t>
  </si>
  <si>
    <t>W</t>
  </si>
  <si>
    <t>Weekly Distribution</t>
  </si>
  <si>
    <t>Daily Distribution</t>
  </si>
  <si>
    <t>LPL - Peoples United (PEO)  
FIXED  08/20/2022</t>
  </si>
  <si>
    <t>LPL - Peoples United (PEO)  
VARIABLE  08/20/2022</t>
  </si>
  <si>
    <t>LPL - Invest (VST)  FIXED  02/06/2018</t>
  </si>
  <si>
    <t>LPL - Invest (VST)  VARIABLE  02/06/2018</t>
  </si>
  <si>
    <t>LPL
First Merit
09/2013
FIXED</t>
  </si>
  <si>
    <t>LPL
First Merit
09/2013
VARIABLE</t>
  </si>
  <si>
    <t>Determine from ACCT.</t>
  </si>
  <si>
    <t>1. Move zeros.
From ACCT Adds after file: If NAINST (beg 413) = I, move NAID (beg 382) from ACCT.
If  an account has multiple DIST records, the TAX-ID should be incremented by '1'.  (example:  ‘000000001’, ‘000000002’, etc.)'</t>
  </si>
  <si>
    <t xml:space="preserve">2. Default to zeros.
If NAINST (beg 413) = I, populate with NAID (beg 382) from ACCT.
If  an account has multiple DIST records, the TAX-ID should be decreased by '1'  (99999999,999999998, etc)'
</t>
  </si>
  <si>
    <t xml:space="preserve">For IRA accounts:
1st record - tax id
2nd record -000000000
For Retail accounts:
1st record - tax id
2nd record -000000000
3rd record – 000000001
4th record – 000000002
5th record – 000000003
Etc….
</t>
  </si>
  <si>
    <t>1. initialize to low values</t>
  </si>
  <si>
    <t>If left as low values and retail account, DE will assign CCHK, ACH or JNL. 
If retirement acct, DE will look to IRAS - IRA Type field.  Then LRPT - default distribution code to populate.  If it is spaces, DIST record will be rejected.</t>
  </si>
  <si>
    <t>New Option #2.
2. Initialize to low values</t>
  </si>
  <si>
    <t>1. Refer to SOURCE Table</t>
  </si>
  <si>
    <t xml:space="preserve">For Non-IRA (INST code other than ‘I’):
If PWSP file NFS-PWSP-MNEM (col 52-54) is equal to ‘CKP’, then convert to CCHK.
If PWSP file NFS-PWSP-MNEM (col 52-54) is equal to ‘ETT’, then convert to ACH.
If PWSP file NFS-PWSP-MNEM (col 52-54) is equal to ‘TFR’ and any NFS-PWSP-PMT-TY-***-C (col 249-260) = E, then convert to ACH.
If PWSP file NFS-PWSP-MNEM (col 52-54) is equal to ‘TFR’ and any NFS-PWSP-PMT-TY-***-C (col 249-260) = C, or A, then convert to CCHK.
If PWSP file NFS-PWSP-MNEM (col 52-54) is equal to ‘TFR’, and any NFS-PWSP-PMT-TY-***-C (col 249-260) = D, then convert to JNL.
For IRA Accounts (INST code ‘I’):
NFS                 BETA
Blank                REG
PDD                  DAB2
PDH                  DEC2
PDP                  REG
PPM                  PREM
TFR                  WTRF
(For any that are blank please place on warning report)
Default for both account types is JNL
</t>
  </si>
  <si>
    <t xml:space="preserve">PWSP file NFS-PWSP-MNEM (col 52-54)
NFS                         BETA   
EPP                        PRERE
PDD                       DAB2
PDH                       DEC2
PDP                       REG
PPM                       PREM
</t>
  </si>
  <si>
    <t>1. Generated</t>
  </si>
  <si>
    <t>Ignore</t>
  </si>
  <si>
    <t>1. Refer to FREQ BEGIN Table</t>
  </si>
  <si>
    <t>Table</t>
  </si>
  <si>
    <t>If DIST cycle date 'day' falls on a weekend, FARM DIST - WKND/HOL field determines the day the money is sent
If FREQ = E, CDC-BEGIN-DD2 (beg 898) must be populated.</t>
  </si>
  <si>
    <r>
      <t xml:space="preserve">1. Refer to FREQ BEGIN Table
</t>
    </r>
    <r>
      <rPr>
        <sz val="9"/>
        <color indexed="10"/>
        <rFont val="Arial"/>
        <family val="2"/>
      </rPr>
      <t xml:space="preserve">
</t>
    </r>
    <r>
      <rPr>
        <sz val="9"/>
        <color indexed="10"/>
        <rFont val="Arial"/>
        <family val="2"/>
      </rPr>
      <t xml:space="preserve">
</t>
    </r>
  </si>
  <si>
    <r>
      <t xml:space="preserve">1. Refer to FREQ BEGIN Table
</t>
    </r>
    <r>
      <rPr>
        <sz val="9"/>
        <color indexed="10"/>
        <rFont val="Arial"/>
        <family val="2"/>
      </rPr>
      <t xml:space="preserve">
</t>
    </r>
    <r>
      <rPr>
        <sz val="9"/>
        <rFont val="Arial"/>
        <family val="2"/>
      </rPr>
      <t xml:space="preserve">
</t>
    </r>
    <r>
      <rPr>
        <sz val="9"/>
        <color indexed="10"/>
        <rFont val="Arial"/>
        <family val="2"/>
      </rPr>
      <t xml:space="preserve">
</t>
    </r>
  </si>
  <si>
    <t>END</t>
  </si>
  <si>
    <t xml:space="preserve">1. Initialize to low values. 
If PWSP-END-DATE (col 41-50) is not equal to 01/01/9999 move PWSP-END-DATE (col 41-50) minus 1 calendar day. </t>
  </si>
  <si>
    <t xml:space="preserve">1. Initialize to low values.  
If PWSP-END-DATE is not equal to 01/01/9999 move PWSP-END-DATE minus 1 calendar day.  
</t>
  </si>
  <si>
    <t xml:space="preserve">PWSP file NFS-PWSP-END-DATE (col 41-50) minus 1 calendar day.
If PWSP file NFS-PWSP-END-DATE (col 41-50) is less than 05/11/11, do not convert.
If PWSP file NFS-PWSP-END-DATE (col 41-50) is equal to 01/01/9999, convert to blanks.
</t>
  </si>
  <si>
    <t xml:space="preserve">PWSP file NFS-PWSP-END-DATE (col 41-50) minus 1 calendar day.
If PWSP file NFS-PWSP-END-DATE (col 41-50) is less than 11/17/03, do not convert.
If PWSP file NFS-PWSP-END-DATE (col 41-50) is equal to 01/01/9999, convert to blanks.
</t>
  </si>
  <si>
    <t xml:space="preserve">1. Move PWSP-PMT-AMT </t>
  </si>
  <si>
    <t>PWSP file NFS-PWSP-PMT-AMT (col 74-79)</t>
  </si>
  <si>
    <t>IRA ONLY</t>
  </si>
  <si>
    <t>1. Default to N
 If PWSP-WH-PCT or PWSP-WH-AMT is &gt; 0 move 'Y'</t>
  </si>
  <si>
    <t xml:space="preserve">If PWSP file NFS-PWSP-WH-PCT (col 55-57) is not equal to zero or blank, set to Y.
If PWSP file NFS-PWSP-WH-AMT (col 59-63) is not equal to zero or blank, set to Y.
If this field is not populated with a ‘Y’, please default to N.
</t>
  </si>
  <si>
    <t>IRA ONLY
If the number entered is less than 10, the minimum federal tax percentage that will be deducted is 10 percent.</t>
  </si>
  <si>
    <t>1.  Iniitalize to low values.
Move PWSP-WH-PCT if &gt; zero</t>
  </si>
  <si>
    <t>PWSP file NFS-PWSP-WH-PCT (col 55-57)</t>
  </si>
  <si>
    <t>IRA ONLY
If the number entered in this field is less than 10 percent of the distribution, the minimum federal tax percentage that will be deducted is 10 percent</t>
  </si>
  <si>
    <t>1. Initialize to low values
Move PWSP-WH-AMT if &gt; zero</t>
  </si>
  <si>
    <t xml:space="preserve">PWSP file NFS-PWSP-WH-AMT (col 59-63)
</t>
  </si>
  <si>
    <t xml:space="preserve">Number of federal allowances claimed by the customer
(not currently used)
</t>
  </si>
  <si>
    <t>1.  Default to 'N'
If PWP-ST-WH &gt; 0, move Y</t>
  </si>
  <si>
    <t xml:space="preserve">If PWSP file NFS-PWSP-ST-WH (col 290-292) is not equal to zero or blank, set to Y.
If this field is not populated with a ‘Y’ please default to N.
</t>
  </si>
  <si>
    <t xml:space="preserve">Percentage rate (based on the gross amount) of state income tax to be deducted.
</t>
  </si>
  <si>
    <t>IRA ONLY
FARM IRAT - STATE ROUND UP</t>
  </si>
  <si>
    <t>1.  Initialize to low values. 
Move PSWP-ST-WH (col 290-292) if &gt; 0.</t>
  </si>
  <si>
    <t>1.  Initialize to low values.  
Move PSWP-ST-WH if &gt; 0</t>
  </si>
  <si>
    <t>PWSP file NFS-PWSP-ST-WH (col 290-292)</t>
  </si>
  <si>
    <t xml:space="preserve">Number of lines of name-only information in both the CUSTOMER NAME/ADDRESS and ALTERNATE NAME/ADDRESS fields.
</t>
  </si>
  <si>
    <t>Generated</t>
  </si>
  <si>
    <t>1. Initialize to low values.
If PWSP-PMT-TY-***-C = A (col 249-260), move PWAA-BNK-NM (col 241) if &gt; spaces else move PWAA-ADDR-1 (col 49-80). 
Write account to warning report (MSGT = 5721).</t>
  </si>
  <si>
    <t>1. Initialize to low values.
If PWSP-PMT-TY-***-C = A, move PWAA-BNK-NM if &gt; spaces else move PWAA-ADDR-1.  
Write account to warning report (MSGT = 5721)</t>
  </si>
  <si>
    <t xml:space="preserve">If PWSPFILE  file NFS-PWSP-PMT-TY-***-C (col 249-260) = A 
Find corresponding PWAAFILE record for the following fields…
The CDC-ALT-NALINE-1 – 6 are to be populated with the PWAA-BNK-NM (col 241-272) and the PWAA-ADDR1 – 6 (col 49-240).
If the NFS-PWAA-BNK-NM (col 241-272) is populated, move contents to CDC-ALT-NALINE-1 and shift the PWAA-ADDR lines down accordingly 
Else
Move  NFS-PWAA-ADDR-1 (col 49-80) to CDC-ALT-NALINE-1
If Beta CDC-ALT-NALINE-1 is not blank, print to warning report.
</t>
  </si>
  <si>
    <t>1. Initialize to low values.
If PWSP-PMT-TY-***-C = A (col 249-260) and PWAA-BNK-NM (col 241) is &gt; spaces move PWAA-ADDR-1 (col 49-80) else move PWAA-ADDR-2 (col 81-112).
Write account to warning report. (MSGT = 5722).</t>
  </si>
  <si>
    <t>1. Initialize to low values.
If PWSP-PMT-TY-***-C = A and PWAA-BNK-NM is &gt; spaces move PWAA-ADDR-1 else move PWAA-ADDR-2. 
Write account to warning report. (MSGT = 5722)</t>
  </si>
  <si>
    <t xml:space="preserve">If PWSP file NFS-PWSP-PMT-TY-***-C (col 249-260) = A and NFS-PWSS-BNK-NM (col 241-272) is populated, move PWAA file NFS-PWAA-ADDR-1 (col 49-80) to CDC-ALT-NALINE-2
Else
Move PWAA file NFS-PWAA-ADDR-2(col 81-112)  to CDC-ALT-NALINE-2
If Beta CDC-ALT-NALINE-2 is not blank, print to warning report.
</t>
  </si>
  <si>
    <t>1. Initialize to low values.
If PWSP-PMT-TY-***-C = A (col 249-260) and PWAA-BNK-NM (col 241) is &gt; spaces move PWAA-ADDR-2 (col 81-112) else move PWAA-ADDR-3 (col 113-144).
Write account to warning report. (MSGT = 5723).</t>
  </si>
  <si>
    <t>1. Initialize to low values.
If PWSP-PMT-TY-***-C = A and PWAA-BNK-NM is &gt; spaces move PWAA-ADDR-2 else move PWAA-ADDR-3. 
Write account to warning report. (MSGT = 5723)</t>
  </si>
  <si>
    <t xml:space="preserve">If PWSP file NFS-PWSP-PMT-TY-***-C (col 249-260) = A  and PWAA file NFS-PWAA-BNK-NM (col 241-272) is populated, move NFS-PWAA-ADDR-2 (col 81-112) to CDC-ALT-NALINE-3
Else
Move PWAA file NFS-PWAA-ADDR-3 (col 113-144)  to CDC-ALT-NALINE-3
If Beta CDC-ALT-NALINE-3 is not blank, print to warning report.
</t>
  </si>
  <si>
    <t xml:space="preserve">PER-AMP-MSI-SI-CHK-ADDR-TYPE (col 1301)
PER-AMP-MSI-SI-CHK-ADDR-LINE4 (col 1398-1429)
</t>
  </si>
  <si>
    <t>1. Initialize to low values.
If PWSP-PMT-TY-***-C = A (col 249-260) and PWAA-BNK-NM (col 241) is &gt; spaces move PWAA-ADDR-3 (col 113-144) else move PWAA-ADDR-4 (col 145-176).
Write account to warning report. (MSGT = 5724).</t>
  </si>
  <si>
    <t>1. Initialize to low values.
If PWSP-PMT-TY-***-C = A and PWAA-BNK-NM is &gt; spaces move PWAA-ADDR-3 else move PWAA-ADDR-4. 
Write account to warning report. (MSGT = 5724)</t>
  </si>
  <si>
    <t xml:space="preserve">If PWSP file NFS-PWSP-PMT-TY-***-C (col 249-260) = A and PWAA file NFS-PWSS-BNK-NM (col 241-272) is populated, move NFS-PWAA-ADDR-3 (col 113-144) to CDC-ALT-NALINE-4
Else
Move PWAA file NFS-PWAA-ADDR-4 (col 145-176) to CDC-ALT-NALINE-4
If Beta CDC-ALT-NALINE-4 is not blank, print to warning report.
</t>
  </si>
  <si>
    <t xml:space="preserve">PER-AMP-MSI-SI-CHK-ADDR-TYPE (col 1301)
PER-AMP-MSI-SI-CHK-ADDR-LINE5 (col 1430-1461)
</t>
  </si>
  <si>
    <t>1. Initialize to low values.
If PWSP-PMT-TY-***-C = A (col 249-260) and PWAA-BNK-NM (col 241) is &gt; spaces move PWAA-ADDR-4 (col 145-176) else move PWAA-ADDR-5 (col 177-208).
Write account to warning report.  (MSGT = 5725)</t>
  </si>
  <si>
    <t>1. Initialize to low values.
If PWSP-PMT-TY-***-C = A and PWAA-BNK-NM is &gt; spaces move PWAA-ADDR-4 else move PWAA-ADDR-5. 
Write account to warning report.  (MSGT = 5725)</t>
  </si>
  <si>
    <t xml:space="preserve">If PWSP file NFS-PWSP-PMT-TY-***-C (col 249-260) = A and PWAA file NFS-PWAA-BNK-NM (col 241-272) is populated, move NFS-PWAA-ADDR-4 (col 145-176)  to CDC-ALT-NALINE-5
Else
Move PWAA file NFS-PWAA-ADDR-5 (col 177-208) to CDC-ALT-NALINE-5
If Beta CDC-ALT-NALINE-5 is not blank, print to warning report.
</t>
  </si>
  <si>
    <t xml:space="preserve">PER-AMP-MSI-SI-CHK-ADDR-TYPE (col 1301)
PER-AMP-MSI-SI-CHK-ADDR-LINE6 (col 1462-1493)
</t>
  </si>
  <si>
    <t>1. Initialize to low values.
If PWSP-PMT-TY-***-C = A (col 249-260) and PWAA-BNK-NM (col 241) is &gt; spaces move PWAA-ADDR-5 (col 177-208) else move PWAA-ADDR-6 (col 209-240).
Write account to warning report. (MSGT = 5726).</t>
  </si>
  <si>
    <t>1. Initialize to low values.
If PWSP-PMT-TY-***-C = A and PWAA-BNK-NM is &gt; spaces move PWAA-ADDR-5 else move PWAA-ADDR-6. 
Write account to warning report. (MSGT = 5726)</t>
  </si>
  <si>
    <t xml:space="preserve">If PWSPFILE  file NFS-PWSP-PMT-TY-***-C (col 249-260) = A and PWAA file NFS-PWAA-BNK-NM (col 241-272) is populated, Move  NFS-PWAA-ADDR-5 (col 177-208) to CDC-ALT-NALINE-6
Else
Move PWAA file NFS-PWAA-ADDR-6 (col 209-240) to CDC-ALT-NALINE-6
If Beta CDC-ALT-NALINE-6 is not blank, print to warning report.
</t>
  </si>
  <si>
    <t xml:space="preserve">Check trailer. Prints as the first line of description for retail accounts and the second line of description for retirement accounts.
</t>
  </si>
  <si>
    <t>Required for Retail accounts, Optional for IRA</t>
  </si>
  <si>
    <t xml:space="preserve">3. Move 'Principal Distribution'.
 </t>
  </si>
  <si>
    <t>2. Move 'Income Distribution'</t>
  </si>
  <si>
    <t xml:space="preserve">3. Move 'Principal Distribution'.
</t>
  </si>
  <si>
    <t xml:space="preserve">If NAINST is not equal to I and
If Beta CDC-FREQUENCY  (Beg 26) = M, then set to “Monthly Distribution” or
If CDC-FREQUENCY  (Beg 26) = A , then set to “Annual Distribution”
or
If CDC-FREQUENCY  (Beg 26) = Q, then set to “Quarterly Distribution”
or
If CDC-FREQUENCY  (Beg 26) = S, then set to “Semi-Annual Distribution”
or
If CDC-FREQUENCY  (Beg 26) = W, then set to “Weekly Distribution”
or
If CDC-FREQUENCY  (Beg 26) = D, then set to “Daily Distribution”
or
If CDC-FREQUENCY  (Beg 26) = L, then set to “Monthly Distribution”
Else, default to “Principal Distribution”
</t>
  </si>
  <si>
    <t>Populate with description line from PECO code used in CDC-SOURCE.</t>
  </si>
  <si>
    <t>1. Set to run date of conversion</t>
  </si>
  <si>
    <t>Default to conversion date.</t>
  </si>
  <si>
    <t>1. Set to 'EDP'</t>
  </si>
  <si>
    <t>Default to EDP.</t>
  </si>
  <si>
    <t>1. Set to 'CONV'</t>
  </si>
  <si>
    <t>Default to CONV.</t>
  </si>
  <si>
    <t>IRA ONLY
SILO</t>
  </si>
  <si>
    <t>1.  If  DIST-CDC-WITH-CODE-2 is not spaces or zeroes, move NA-STATE-CODE from ACCT to DIST-CDC-STATE-CODE</t>
  </si>
  <si>
    <t>Determine from ACCT</t>
  </si>
  <si>
    <t>Determined from ACCT</t>
  </si>
  <si>
    <t xml:space="preserve">Dividend income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</si>
  <si>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1.  Initialize to low values. 
If CDC-FREQUENCY (beg 239) is populated, move 'X'.  </t>
  </si>
  <si>
    <t xml:space="preserve">Ignore
</t>
  </si>
  <si>
    <t>If BETA CDC-FREQUENCY (Beg 26) is populated with a ‘D’, ‘W’, ‘E’, or ‘M” mark with an X</t>
  </si>
  <si>
    <r>
      <t xml:space="preserve">1. Initialize to low values. 
If PWSP-PMT-TY-***-C = D (col 249-260) and PWSP-DIRC-BRCH-C (col 81-83) + PWSP-DIRC-BASE-C (col 84-89) is populated ,  use the ACCT DB to cross reference </t>
    </r>
    <r>
      <rPr>
        <sz val="9"/>
        <color rgb="FFFF0000"/>
        <rFont val="Arial"/>
        <family val="2"/>
      </rPr>
      <t>‘PU’</t>
    </r>
    <r>
      <rPr>
        <sz val="9"/>
        <color rgb="FF000000"/>
        <rFont val="Arial"/>
        <family val="2"/>
      </rPr>
      <t xml:space="preserve"> +  PWSP-DIRC-BRCH-C (col 81-83) + PWSP-DIRC-BASE-C (col 84-89) to populate this field with new BETA account number.</t>
    </r>
  </si>
  <si>
    <r>
      <t xml:space="preserve">1. Initialize to low values. 
If PWSP-PMT-TY-***-C = D (col 249-260) and PWSP-DIRC-BRCH-C (col 81-83) + PWSP-DIRC-BASE-C (col 84-89) is populated ,  use the ACCT DB to cross reference </t>
    </r>
    <r>
      <rPr>
        <b/>
        <sz val="9"/>
        <color rgb="FFFF0000"/>
        <rFont val="Arial"/>
        <family val="2"/>
      </rPr>
      <t>‘PU</t>
    </r>
    <r>
      <rPr>
        <sz val="9"/>
        <color rgb="FF000000"/>
        <rFont val="Arial"/>
        <family val="2"/>
      </rPr>
      <t>’ +  PWSP-DIRC-BRCH-C (col 81-83) + PWSP-DIRC-BASE-C (col 84-89) to populate this field with new BETA account number.</t>
    </r>
  </si>
  <si>
    <t xml:space="preserve">1. Initialize to low values.  
If PWSP-PMT-TY-***-C = D and PWSP-DIRC-BRCH-C + PWSP-DIRC-BASE-C is populated ,  use the ACCT DB to cross reference ‘CN’ +  PWSP-DIRC-BRCH-C + PWSP-DIRC-BASE-C to populate this field with new BETA account number.
</t>
  </si>
  <si>
    <t>If PWSP file NFS-PWSP-PMT-TY-***-C (col 249-260) = D and CDC-SOURCE is equal to “JNL”, then convert PWSP file NFS-PWSP-DIRC-BRCH-C (col 81-83) and NFS-PWSP-DIRC-BASE-C (col 84-89) + “FM” prefix to convert to BETA acct #</t>
  </si>
  <si>
    <t>If PWSP file NFS-PWSP-PMT-TY-***-C (col 249-260) = D and CDC-SOURCE is equal to JNL, then convert PWSP file NFS-PWSP-DIRC-BRCH-C (col 81-83) and NFS-PWSP-DIRC-BASE-C (col 84-89) + FM prefix to convert to BETA acct #</t>
  </si>
  <si>
    <t xml:space="preserve">Interest income indicator                                                
 X = Income generated with certain source codes will either be added to dividend/interest balanceon CLED or the VAR-AMT field on DIST and paid out according to the FREQ  field  on DIST.
R = Income generated with certain source codes will be added to the dividend interest balance on CLED or the VAR-AMT field on DIST.  The system will create a real-time check, ACH or journal entries.
</t>
  </si>
  <si>
    <t xml:space="preserve">1.  Initialize to low values. 
If CDC-FREQUENCY (beg 239) is populated move 'X'.  </t>
  </si>
  <si>
    <t xml:space="preserve">Ignore
.
</t>
  </si>
  <si>
    <t xml:space="preserve">Other income indicator                                              X = Income generated with source codes other than the usual dividend and interest codes will either be added to dividend/interest balanceon CLED or the VAR-AMT field on DIST and paid out according to the FREQ  field  on DIST.
</t>
  </si>
  <si>
    <t xml:space="preserve">Capital gains distribution indicator 
X = Income generated with certain source codes will either be added to dividend/interest balanceon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</si>
  <si>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1.  Initialize to low values. 
If PWSP-PMT-TY-***-C = D (col 249-260), move 1</t>
  </si>
  <si>
    <t>1.  initialize to low values.  
If PWSP-PMT-TY-***-C = D, move 1</t>
  </si>
  <si>
    <t>If BETA field CDC-JNL-ACCT (Beg 470) is populated, then default to ‘1’, else ignore.</t>
  </si>
  <si>
    <r>
      <t>Update to Option #2:
2. Initialize to low values
If CDC-JNL-ACCT (beg 651) &gt; zero's and NAINST (beg 413) of CDC-JCL-ACCT = I, move '</t>
    </r>
    <r>
      <rPr>
        <strike/>
        <sz val="9"/>
        <color rgb="FF000000"/>
        <rFont val="Arial"/>
        <family val="2"/>
      </rPr>
      <t xml:space="preserve">REG' </t>
    </r>
    <r>
      <rPr>
        <sz val="9"/>
        <color rgb="FFFF0000"/>
        <rFont val="Arial"/>
        <family val="2"/>
      </rPr>
      <t xml:space="preserve"> </t>
    </r>
    <r>
      <rPr>
        <b/>
        <sz val="9"/>
        <color rgb="FFFF0000"/>
        <rFont val="Arial"/>
        <family val="2"/>
      </rPr>
      <t>'IRACC</t>
    </r>
    <r>
      <rPr>
        <sz val="9"/>
        <color rgb="FF000000"/>
        <rFont val="Arial"/>
        <family val="2"/>
      </rPr>
      <t>'
If CDC-JNL-ACCT (beg 651) &gt; zero's and NAINST (beg 413) of CDC-JCL-ACCT not = I, move 'JNL'</t>
    </r>
  </si>
  <si>
    <t>1.  Initialize to low values. 
If PWSP-PMT-TY-***-C = D (col 249-260), move 'JNL'</t>
  </si>
  <si>
    <t>2. Initialize to low values
If CDC-JNL-ACCT (beg 651) &gt; zero's and NAINST (beg 413) of CDC-JCL-ACCT = I, move 'REG'
If CDC-JNL-ACCT (beg 651) &gt; zero's and NAINST (beg 413) of CDC-JCL-ACCT not = I, move 'JNL'</t>
  </si>
  <si>
    <t>1.  initialize to low values.  
If PWSP-PMT-TY-***-C = D, move 'JNL'</t>
  </si>
  <si>
    <t>If BETA field CDC-JNL-ACCT (Beg 470) is populated, then default to ‘JNL’, else ignore.</t>
  </si>
  <si>
    <t xml:space="preserve">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</si>
  <si>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Return of capital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</si>
  <si>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Partnership distribution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</si>
  <si>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Return of principal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</si>
  <si>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Liquidation indicator                                         
X = Income generated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</si>
  <si>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 xml:space="preserve">Dividends received from securities held outside the firm indicator                                                  
X = Any dividends received from securities held outside the firm that are entered with certain source codes will either be added to dividend/interest balance on CLED or the VAR-AMT field on DIST and paid out according to the FREQ  field  on DIST.
R = Income generated withcertain source codes will be added to the dividend interest balance on CLED or the VAR-AMT field on DIST.  The system will create a real-time check, ACH or journal entries.
</t>
  </si>
  <si>
    <t>2. Initialize to low values.
If CDC-DIV-CODE (beg 469) = X, move X</t>
  </si>
  <si>
    <t>2.  Initialize to low values.  
If CDC-DIV-CODE (beg 650) = X, move X.</t>
  </si>
  <si>
    <t xml:space="preserve">Money market fund interest indicator.
(Not currently used)                                                              
</t>
  </si>
  <si>
    <t> </t>
  </si>
  <si>
    <t>CDC-ACH-ABA</t>
  </si>
  <si>
    <t>1. Initialize to low values.
If PWSP-PMT-TY-***-C = E (col 249-260):  join files using PWSP-PLN-ID (col 1-9)and PWSP-PLN-SQ-N (col 11-12),  PWFU-PLN-ID (col 1-9) and PWFU-PLN-SQ-N (col 11-12), retrieve PWFU-EFT-SUFX (col 42-43).
Using PWFU-PLN-ID (col 1-9) + PWFU-EFT-SUFX (col 42-43), cross-reference those values to ICP-ES-STG-INSN-ID (col 10-29) to find corresponding  record, move ICP-ES-ABA-ID (col 901-909) if &gt; 0.</t>
  </si>
  <si>
    <t>1. Initialize to low values.
If ICP-ES-SI-TYPE = ES (col 8-9), move ICP-ES-ABA-ID (col 901-909) if &gt; 0.</t>
  </si>
  <si>
    <t xml:space="preserve">1. Initialize to low values. 
If PWSP-PMT-TY-***-C = E:  join files using PWSP-PLN-ID and PWSP-PLN-SQ-N,  PWFU-PLN-ID and PWFU-PLN-SQ-N, retrieve PWFU-EFT-SUFX. 
Using PWFU-PLN-ID + PWFU-EFT-SUFX, cross-reference those values to ICP-ES-STG-INSN-ID to find corresponding  record, move ICP-ES-ABA-ID if &gt; 0
</t>
  </si>
  <si>
    <t>1. Initialize to low values. 
If ES-SI-TYPE = ES, move ICP-ES-ABA-ID if &gt; 0</t>
  </si>
  <si>
    <t xml:space="preserve">If PWSP file, NFS-PWSP-PMT-TY-***-C (col 249-260) = E:
Retrieve NFS-PWSP-PLN-ID (col 1-9) and NFS-PWSP-PLN-SQ-N (col 11-12) then cross-reference those values to the PWFU file NFS-PWFU-PLN-ID (col 1-9) and NFS-PWFU-PLN-SQ-N (col 11-12) to find corresponding record and retrieve NFS-PWFU-EFT-SUFX (col 42-43). 
Using PWFU file NFS-PWFU-PLN-ID  (col 1-9) + NFS-PWFU-EFT-SUFX (col 42-43), cross-reference those values to the ICP file NFS-ICP-ES-STG-INSN-ID (col 10-29) to find corresponding  record and retrieve then populate NFS-ICP-ES-ABA-ID (col 901-909).
</t>
  </si>
  <si>
    <t xml:space="preserve">If ICP file NFS-ICP-ES-SI-TYPE (col 8-9) = ES, convert NFS-ICP-ES-ABA-ID (col 901-909) </t>
  </si>
  <si>
    <t>1.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ICP-ES-BEN-ACC-ID (col 1022-1038).</t>
  </si>
  <si>
    <t>1. Initialize to low values.  
If CDC-ACH-ABA (beg 678) is &gt; 0 and ICP-ES-SI-TYPE = ES (col 8-9), move ICP-ES-BEN-ACC-ID (col 1022-1038).</t>
  </si>
  <si>
    <t>1. initialize to low values.   
If CDC-ACH-ABA (beg 678) is &gt; 0 and if PWSP-PMT-TY-***-C = E:  join files using PWSP-PLN-ID and PWSP-PLN-SQ-N,  PWFU-PLN-ID and PWFU-PLN-SQ-N, retrieve PWFU-EFT-SUFX. 
Using PWFU-PLN-ID + PWFU-EFT-SUFX, cross-reference those values to ICP-ES-STG-INSN-ID to find corresponding  record, move ICP-ES-BEN-ACC-ID</t>
  </si>
  <si>
    <t xml:space="preserve">1. initialize to low values.   
If CDC-ACH-ABA (beg 678) is &gt; 0 and ES-SI-TYPE = ES, move NFS-ICP-ES-BEN-ACC-ID </t>
  </si>
  <si>
    <t xml:space="preserve">If PWSP file, NFS-PWSP-PMT-TY-***-C (col 249-260) = E:
Retrieve NFS-PWSP-PLN-ID (col 1-9) and NFS-PWSP-PLN-SQ-N (col 11-12) then cross-reference those values to the PWFU file NFS-PWFU-PLN-ID (COL 1-9) and NFS-PWFU-PLN-SQ-N (col 11-12) to find corresponding record and retrieve NFS-PWFU-EFT-SUFX (col 42-43). 
Using PWFU file NFS-PWFU-PLN-ID  (col 1-9), and NFS-PWFU-EFT-SUFX (col 42-43), cross-reference those values to the ICP file NFS-ICP-ES-STG-INSN-ID (col 10-29) to find corresponding  record and retrieve then populate NFS-ICP-ES-BEN-ACC-ID (col 1022-1038).
</t>
  </si>
  <si>
    <t>If ICP file NFS-ICP-ES-SI-TYPE (col 8-9) = ES, convert NFS-ICP-ES-BEN-ACC-ID (col 1022-1038)</t>
  </si>
  <si>
    <t>Bank account type indicator 
Valid values:                                               
C- Checking 
S- Savings</t>
  </si>
  <si>
    <t>1.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ICP-ES-BEN-ACC-TY-C (col 1039).</t>
  </si>
  <si>
    <t>1. Initialize to low values.  
If CDC-ACH-ABA (beg 678) is &gt; 0 and ICP-ES-SI-TYPE = ES (col 8-9), move ICP-ES-BEN-ACC-TY-C (col 1039).</t>
  </si>
  <si>
    <t>1. initialize to low values.   
If CDC-ACH-ABA (beg 678) is &gt; 0 and if PWSP-PMT-TY-***-C = E:  join files using PWSP-PLN-ID and PWSP-PLN-SQ-N,  PWFU-PLN-ID and PWFU-PLN-SQ-N, retrieve PWFU-EFT-SUFX. 
Using PWFU-PLN-ID + PWFU-EFT-SUFX, cross-reference those values to ICP-ES-STG-INSN-ID to find corresponding  record, move ICP-ES-BEN-ACC-TY-C</t>
  </si>
  <si>
    <t>1. initialize to low values.   
If CDC-ACH-ABA (beg 678) is &gt; 0 and ES-SI-TYPE = ES, move ICP-ES-BEN-ACC-TY-C</t>
  </si>
  <si>
    <t xml:space="preserve">If PWSP file, NFS-PWSP-PMT-TY-***-C (col 249-260) = E:
Retrieve NFS-PWSP-PLN-ID (col 1-9) and NFS-PWSP-PLN-SQ-N (col 11-12) then cross-reference those values to the PWFU file NFS-PWFU-PLN-ID (COL 1-9) and NFS-PWFU-PLN-SQ-N (col 11-12) to find corresponding record and retrieve NFS-PWFU-EFT-SUFX (col 42-43). 
Using PWFU file NFS-PWFU-PLN-ID  (col 1-9), and NFS-PWFU-EFT-SUFX (col 42-43), cross-reference those values to the ICP file NFS-ICP-ES-STG-INSN-ID (col 10-29) to find corresponding  record and retrieve then populate NFS-ICP-ES-BEN-ACC-TY-C (col 1039).
</t>
  </si>
  <si>
    <t xml:space="preserve">ICP file NFS-ICP-ES-SI-TYPE (col 8-9) = ES, convert NFS-ICP-ES-BEN-ACC-TY-C (col 1039) as follows:
NFS                      BETA
C=Checking           C
S=Savings              S
</t>
  </si>
  <si>
    <t>2. Initialize to low values.
If CDC-ACH-ABA (beg 504) is numeric and greater than zero and PWSP-PMT-TY-***-C = E
   move NA-KEY1 (beg 235-258)
else
if NFS-ICP-ES-BEN-NM (col 1000-1021) not equal to spaces
  Move NFS-ICP-ES-BEN-NM (col 1000-1021).</t>
  </si>
  <si>
    <t>2. Initialize to low values.
If CDC-ACH-ABA (beg 504) is numeric and greater than zero and ES-SI-TYPE = ES,
   move NA-KEY1 (beg 235-258)
else
if NFS-ICP-ES-BEN-NM (col 1000-1021) not equal to spaces
  Move NFS-ICP-ES-BEN-NM (col 1000-1021).</t>
  </si>
  <si>
    <t xml:space="preserve">2. Initialize to low values. 
If CDC-ACH-ABA (beg 504) is numeric and greater than zero and PWSP-PMT-TY-***-C = E
   move NA-KEY1 (beg 235-258) 
else
if NFS-ICP-ES-BEN-NM (col 1000-1021) not equal to spaces
  Move NFS-ICP-ES-BEN-NM (col 1000-1021).
</t>
  </si>
  <si>
    <t xml:space="preserve">2. Initialize to low values. 
If CDC-ACH-ABA (beg 504) is numeric and greater than zero and ES-SI-TYPE = ES,
   move NA-KEY1 (beg 235-258) 
else
if NFS-ICP-ES-BEN-NM (col 1000-1021) not equal to spaces
  Move NFS-ICP-ES-BEN-NM (col 1000-1021).
</t>
  </si>
  <si>
    <t xml:space="preserve">If PWSP file, NFS-PWSP-PMT-TY-***-C (col 249-260) = E:
Retrieve NFS-PWSP-PLN-ID (col 1-9) and NFS-PWSP-PLN-SQ-N (col 11-12) then cross-reference those values to the PWFU file NFS-PWFU-PLN-ID (COL 1-9) and NFS-PWFU-PLN-SQ-N (col 11-12) to find corresponding record and retrieve NFS-PWFU-EFT-SUFX (col 42-43). 
Using PWFU file NFS-PWFU-PLN-ID  (col 1-9), and NFS-PWFU-EFT-SUFX (col 42-43), cross-reference those values to the ICP file NFS-ICP-ES-STG-INSN-ID (col 10-29) to find corresponding  record and retrieve then populate NFS-ICP-ES-BEN-NM (col 1000-1021).
</t>
  </si>
  <si>
    <t>If CDC-ACH-ABA (Beg 504) is populated, always populate with KEY1 from ACCT.</t>
  </si>
  <si>
    <t>FARM CASH 
ACH MAIL ADV DEFAULT</t>
  </si>
  <si>
    <r>
      <t xml:space="preserve">1. Initialize to low values.
If CDC-ACH-ABA (beg 678) is &gt; 0 and if PWSP-PMT-TY-***-C = E (col 249-260),  move </t>
    </r>
    <r>
      <rPr>
        <strike/>
        <sz val="9"/>
        <color rgb="FF000000"/>
        <rFont val="Arial"/>
        <family val="2"/>
      </rPr>
      <t>'Y'</t>
    </r>
    <r>
      <rPr>
        <sz val="9"/>
        <color rgb="FF000000"/>
        <rFont val="Arial"/>
        <family val="2"/>
      </rPr>
      <t xml:space="preserve"> </t>
    </r>
    <r>
      <rPr>
        <sz val="9"/>
        <color rgb="FFFF0000"/>
        <rFont val="Arial"/>
        <family val="2"/>
      </rPr>
      <t>'N'.</t>
    </r>
  </si>
  <si>
    <r>
      <t>1. Initialize to low values.
If CDC-ACH-ABA (beg 678) is &gt; 0 and if PWSP-PMT-TY-***-C = E (col 249-260),  move '</t>
    </r>
    <r>
      <rPr>
        <strike/>
        <sz val="9"/>
        <color rgb="FF000000"/>
        <rFont val="Arial"/>
        <family val="2"/>
      </rPr>
      <t>Y'</t>
    </r>
    <r>
      <rPr>
        <sz val="9"/>
        <color rgb="FF000000"/>
        <rFont val="Arial"/>
        <family val="2"/>
      </rPr>
      <t xml:space="preserve"> </t>
    </r>
    <r>
      <rPr>
        <sz val="9"/>
        <color rgb="FFFF0000"/>
        <rFont val="Arial"/>
        <family val="2"/>
      </rPr>
      <t>'N'.</t>
    </r>
  </si>
  <si>
    <t>1. Initialize to low values. 
If CDC-ACH-ABA (beg 678) is &gt; 0 and if PWSP-PMT-TY-***-C = E,  move 'Y'.</t>
  </si>
  <si>
    <t>If CDC-ACH-ABA (Beg 504) is populated, always populate with N.</t>
  </si>
  <si>
    <t xml:space="preserve">1. Initialize to low values.
If CDC-ACH-ABA (beg 678) is &gt; 0, set to first business day after Financial conversion. </t>
  </si>
  <si>
    <t>If CDC-ACH-ABA (Beg 504) is populated, default to Monday after financial conversion (09/23/13).</t>
  </si>
  <si>
    <t xml:space="preserve">Tax identification number format
Valid values:
blank - SSN
X = EIN       
</t>
  </si>
  <si>
    <t xml:space="preserve">ACH Transmission number.   For firms with multiple daily transmissions to ACH, the transmission number on which the account is included.                                        
Default value is zero; valid values are 0-9 but are dependent on multiple transmissions being defined on ABAM.
</t>
  </si>
  <si>
    <t>FARM CASH - VERIFY ACH INSTR
ABAM</t>
  </si>
  <si>
    <t>From corresponding ABAM record</t>
  </si>
  <si>
    <t>Credit interest indicator used to determine the balance to which credit interest income will be directed for an account used in conjuction with the DIV-ACCUM field on FEES.  
 X in this field and Y in ACCUM-DIV field = Credit interest will be paid out according to the frequency designated in the FREQ field.    
X in this field and Y in ACCUM-DIV field = Credit interest will be added to to the dividend/interest balance on CLED and paid out according to the frequency designated in the FREQ field.  
Blank = not applicable</t>
  </si>
  <si>
    <t>Controls prenotes - must be set to low values to prohibit prenotes to be sent at conversion</t>
  </si>
  <si>
    <t>Default to low values</t>
  </si>
  <si>
    <t xml:space="preserve">Maturity.
Valid values:
Blank- Do not capture the principle payments on maturing securities.
R = Capture for tonight's processing, from the real time system.
X = Capture for the next processing cycle.
</t>
  </si>
  <si>
    <t>1. Move 'EDP'</t>
  </si>
  <si>
    <t xml:space="preserve">Indicates the type of payee for check activity. 
Valid values:
A- same name and address as brokerage account holder of record 
B- third-party domestic individual 
C- third-party foreign individual 
D- third-party domestic institution E- third-party foreign institution 
F- same name as brokerage account holder of record, but different address
G- The payee is an approved alternative investment or domestic financial institution for the client's benefit.
H- The payee has a different registration from the brokerage account holder of record.
</t>
  </si>
  <si>
    <t>Required if ALTERNATE NAME&amp;ADDR fields are populated</t>
  </si>
  <si>
    <t>1. Initialize to low values. 
If PWSP-PMT-TY-***-C = A (col 249-260), move 'H'.</t>
  </si>
  <si>
    <t>1. Initialize to low values. 
If PWSP-PMT-TY-***-C = A (col 249-260), move 'H'</t>
  </si>
  <si>
    <r>
      <t xml:space="preserve">1. initialize to low values.  
If  If PWSP-PMT-TY-***-C = A, move </t>
    </r>
    <r>
      <rPr>
        <sz val="9"/>
        <color indexed="10"/>
        <rFont val="Arial"/>
        <family val="2"/>
      </rPr>
      <t>'H'</t>
    </r>
  </si>
  <si>
    <r>
      <t>1. initialize to low values.  
If  If PWSP-PMT-TY-***-C = A, move</t>
    </r>
    <r>
      <rPr>
        <sz val="9"/>
        <color indexed="10"/>
        <rFont val="Arial"/>
        <family val="2"/>
      </rPr>
      <t xml:space="preserve"> 'H'</t>
    </r>
  </si>
  <si>
    <t>Default to A</t>
  </si>
  <si>
    <t>NOTE: Required if CDC-ABA field is populated</t>
  </si>
  <si>
    <t>2. Initialize to low values.
If PWSP-PMT-TY-***-C = E (col 249-260), move 'H'</t>
  </si>
  <si>
    <t>2. Initialize to low values.
If ICP-ES-SI-TYPE = ES (col 8-9),  move 'H'.</t>
  </si>
  <si>
    <t>1. Initialize to low values.
If PWSP-PMT-TY-***-C = E, move 'H'</t>
  </si>
  <si>
    <t>1. Initialize to low values.
If ES-SI-TYPE = ES,  move 'H'</t>
  </si>
  <si>
    <t>If BETA field CDC-ACH-ABA is populated, default to A.</t>
  </si>
  <si>
    <t xml:space="preserve">TOB  </t>
  </si>
  <si>
    <t xml:space="preserve">Indicates the type of beneficiary for for the alternate account. 
Valid values:
Blank- Beneficiary type code does not apply.
A- same name and address as brokerage account holder of record 
B- third-party domestic individual 
C- third-party foreign individual 
D- third-party domestic institution 
E- third-party foreign institution 
F- Beneficiary has the same name, but different address, as the brokerage account holder of record.
G- The beneficiary is an approved alternative investment or domestic financial institution for the client's benefit.
H- Beneficiary has a different registration from the brokerage account holder of record.
</t>
  </si>
  <si>
    <t>Required if there is an account number in the JNL TO A/C field.
When this field is coded A or F, it works in conjunction with the JNL TXID field on FARM DIST as follows:
 If the JNL TXID field is coded Y, the tax identification number in ACCT or DAML must be the same for the to and from accounts.
 If the JNL TXID field is coded N, the tax identification number in ACCT or DAML does not need to be the same for the to and from accounts.</t>
  </si>
  <si>
    <r>
      <t>Update to Option #1:
1. Initialize to low values.</t>
    </r>
    <r>
      <rPr>
        <sz val="9"/>
        <rFont val="Arial"/>
        <family val="2"/>
      </rPr>
      <t xml:space="preserve"> 
If CDC-JNL-ACCT (beg 651) is &gt; 0
and if PWSP-PMT-TY-***-C  = D (249-260) and </t>
    </r>
    <r>
      <rPr>
        <strike/>
        <sz val="9"/>
        <rFont val="Arial"/>
        <family val="2"/>
      </rPr>
      <t>CDC-SOURCE (beg 232 )</t>
    </r>
    <r>
      <rPr>
        <sz val="9"/>
        <rFont val="Arial"/>
        <family val="2"/>
      </rPr>
      <t xml:space="preserve"> </t>
    </r>
    <r>
      <rPr>
        <b/>
        <sz val="9"/>
        <color rgb="FFFF0000"/>
        <rFont val="Arial"/>
        <family val="2"/>
      </rPr>
      <t xml:space="preserve">
CDC-JNL-SOURCE (beg 665)</t>
    </r>
    <r>
      <rPr>
        <sz val="9"/>
        <rFont val="Arial"/>
        <family val="2"/>
      </rPr>
      <t xml:space="preserve"> = JNL </t>
    </r>
    <r>
      <rPr>
        <b/>
        <sz val="9"/>
        <color rgb="FFFF0000"/>
        <rFont val="Arial"/>
        <family val="2"/>
      </rPr>
      <t>or IRACC</t>
    </r>
    <r>
      <rPr>
        <sz val="9"/>
        <rFont val="Arial"/>
        <family val="2"/>
      </rPr>
      <t>, move 'H'</t>
    </r>
  </si>
  <si>
    <r>
      <t>Update to Option #1:
1. Initialize to low values.</t>
    </r>
    <r>
      <rPr>
        <sz val="9"/>
        <rFont val="Arial"/>
        <family val="2"/>
      </rPr>
      <t xml:space="preserve"> 
If CDC-JNL-ACCT (beg 651) is &gt; 0
and if PWSP-PMT-TY-***-C  = D (249-260) and </t>
    </r>
    <r>
      <rPr>
        <strike/>
        <sz val="9"/>
        <rFont val="Arial"/>
        <family val="2"/>
      </rPr>
      <t>CDC-SOURCE (beg 232 )</t>
    </r>
    <r>
      <rPr>
        <sz val="9"/>
        <rFont val="Arial"/>
        <family val="2"/>
      </rPr>
      <t xml:space="preserve"> </t>
    </r>
    <r>
      <rPr>
        <b/>
        <sz val="9"/>
        <color rgb="FFFF0000"/>
        <rFont val="Arial"/>
        <family val="2"/>
      </rPr>
      <t xml:space="preserve">
CDC-JNL-SOURCE (beg 665)</t>
    </r>
    <r>
      <rPr>
        <sz val="9"/>
        <rFont val="Arial"/>
        <family val="2"/>
      </rPr>
      <t xml:space="preserve"> = JNL </t>
    </r>
    <r>
      <rPr>
        <b/>
        <sz val="9"/>
        <color rgb="FFFF0000"/>
        <rFont val="Arial"/>
        <family val="2"/>
      </rPr>
      <t>or IRACC,</t>
    </r>
    <r>
      <rPr>
        <sz val="9"/>
        <rFont val="Arial"/>
        <family val="2"/>
      </rPr>
      <t xml:space="preserve"> move 'H'</t>
    </r>
  </si>
  <si>
    <t xml:space="preserve">1. Initialize to low values.  
If CDC-JNL-ACCT (beg 651) is &gt; 0 
and if PWSP-PMT-TY-***-C  = D and CDC-SOURCE (beg 232 ) = JNL, REG, PREM, DEC2, PREM or WTRF, move 'H'
</t>
  </si>
  <si>
    <t xml:space="preserve">If PWSP file NFS-PWSP-PMT-TY-***-C (col 249-260) = D and CDC-SOURCE is equal to JNL, then set to “H”, else, ignore. </t>
  </si>
  <si>
    <t xml:space="preserve">Required minimum distribution. This field is used to determine whether the system will automatically calculate the periodic distribution amount in the AMOUNT field on DIST for IRA accts. 
Valid codes appear below. 
(blank) (default) -The periodic distribution amount will not be calculated automatically. 
F-The periodic distribution amount will be auto calculated using the frequency method. 
R-The periodic distribution amount will be calculated automatically using the remaining cycles method. 
</t>
  </si>
  <si>
    <t>IRA ONLY
MDRO conversion is a contingency else the RMD-IND field must be set to low values</t>
  </si>
  <si>
    <t>1. Default to '1'</t>
  </si>
  <si>
    <t>Default to 1.</t>
  </si>
  <si>
    <t>System generated.</t>
  </si>
  <si>
    <t>Date on which the variable amount was updated.  Not for conversion.
(Not currently used)</t>
  </si>
  <si>
    <t>Required if CDC-FREQUENCY = E.  
'DAY' must be greater than the 'day' in CDC-BEGIN-CYMD (beg 29)</t>
  </si>
  <si>
    <t xml:space="preserve">1.  Initialize to low values. </t>
  </si>
  <si>
    <r>
      <t xml:space="preserve">Valid values: 
</t>
    </r>
    <r>
      <rPr>
        <u/>
        <sz val="9"/>
        <rFont val="Arial"/>
        <family val="2"/>
      </rPr>
      <t>Value</t>
    </r>
    <r>
      <rPr>
        <sz val="9"/>
        <rFont val="Arial"/>
        <family val="2"/>
      </rPr>
      <t xml:space="preserve">    </t>
    </r>
    <r>
      <rPr>
        <u/>
        <sz val="9"/>
        <rFont val="Arial"/>
        <family val="2"/>
      </rPr>
      <t>Shown online</t>
    </r>
    <r>
      <rPr>
        <sz val="9"/>
        <rFont val="Arial"/>
        <family val="2"/>
      </rPr>
      <t xml:space="preserve">
C              CCD 
Y              WEB
T              TEL
N             PPD
</t>
    </r>
  </si>
  <si>
    <t>If CDC-ACH-ABA (Beg 504) from DIST mappings is &gt;0, then default to ‘PPD’, else move spaces.</t>
  </si>
  <si>
    <t xml:space="preserve">Source of ACH Transaction 
Valid values:
EFT
WEB
IVR
Default = EFT
</t>
  </si>
  <si>
    <t>If CDC-ACH-ABA (Beg 504) from DIST mappings is &gt;0, then default to ‘EFT’, else move spaces.</t>
  </si>
  <si>
    <t>Default to spaces</t>
  </si>
  <si>
    <t xml:space="preserve">Number of state allowances claimed by the customer.
(not currently used)
</t>
  </si>
  <si>
    <t>Default to  0.00</t>
  </si>
  <si>
    <t>Controls prenotes - must be set to Initialize to low values to prohibit prenotes to be sent at conversion</t>
  </si>
  <si>
    <t>2.  If  DIST-CDC-WITH-CODE-2 (Beg 299) is not spaces or zeroes, From ACCT Adds After file, move NA-STATE-CODE (Beg 369-370).</t>
  </si>
  <si>
    <t>Roth</t>
  </si>
  <si>
    <t>ACH (Direct Payee)</t>
  </si>
  <si>
    <r>
      <t>1. Initialize to low values.  
If PWSP-PMT-TY-***-C = D (col 249-260) and PWSP-DIRC-BRCH-C (col 81-83) + PWSP-DIRC-BASE-C (col 84-89) is populated ,  use the ACCT DB to cross reference ‘</t>
    </r>
    <r>
      <rPr>
        <sz val="9"/>
        <color rgb="FFFF0000"/>
        <rFont val="Arial"/>
        <family val="2"/>
      </rPr>
      <t>??</t>
    </r>
    <r>
      <rPr>
        <sz val="9"/>
        <color theme="1"/>
        <rFont val="Arial"/>
        <family val="2"/>
      </rPr>
      <t xml:space="preserve">’ +  PWSP-DIRC-BRCH-C (col 81-83) + PWSP-DIRC-BASE-C (col 84-89) to populate this field with new BETA account number.
</t>
    </r>
  </si>
  <si>
    <r>
      <t>1. Initialize to low values. 
If CDC-ACH-ABA (beg 678) is &gt; 0 and if PWSP-PMT-TY-***-C = E (col 249-260),  move '</t>
    </r>
    <r>
      <rPr>
        <sz val="9"/>
        <color rgb="FFFF0000"/>
        <rFont val="Arial"/>
        <family val="2"/>
      </rPr>
      <t>?</t>
    </r>
    <r>
      <rPr>
        <sz val="9"/>
        <color theme="1"/>
        <rFont val="Arial"/>
        <family val="2"/>
      </rPr>
      <t>'.</t>
    </r>
  </si>
  <si>
    <t>2. If  DIST-CDC-WITH-CODE-2 (Beg 299) is not spaces or zeroes, From ACCT Adds After file, move NA-STATE-CODE (Beg 369-370).</t>
  </si>
  <si>
    <t>1.  Initialize to low values.  
If PWSP-PMT-TY-***-C = D (col 249-260), move 'JNL'</t>
  </si>
  <si>
    <t>2. Initialize to low values.
If CDC-ACH-ABA (beg 504) is numeric and greater than zero and PWSP-PMT-TY-***-C = E (col 249-260),
   move NA-KEY1 (beg 235-258)
else
if NFS-ICP-ES-BEN-NM (col 1000-1021) not equal to spaces
  Move NFS-ICP-ES-BEN-NM (col 1000-1021).</t>
  </si>
  <si>
    <t>1. Initialize to low values. 
If CDC-ACH-ABA (beg 678) is &gt; 0 and if PWSP-PMT-TY-***-C = E (col 249-260),  move 'Y'.</t>
  </si>
  <si>
    <t>1. Initialize to low values. 
If CDC-JNL-ACCT (beg 651) is &gt; 0
and if PWSP-PMT-TY-***-C  = D (249-260) and CDC-JNL-SOURCE (beg 665) = JNL or IRACC, move 'H'</t>
  </si>
  <si>
    <t>File Relationship:</t>
  </si>
  <si>
    <r>
      <rPr>
        <b/>
        <sz val="11"/>
        <color theme="1"/>
        <rFont val="Calibri"/>
        <family val="2"/>
        <scheme val="minor"/>
      </rPr>
      <t xml:space="preserve">This is the Driver file.  </t>
    </r>
    <r>
      <rPr>
        <sz val="11"/>
        <color theme="1"/>
        <rFont val="Calibri"/>
        <family val="2"/>
        <scheme val="minor"/>
      </rPr>
      <t>Sort off any duplicate account/seq no records from the PWFU file by (PLN-ID + PLN-SQ-N + EFT-SUFX).  
If only 1 PWSP record exists but there are multiple unique records on the PWFU file, use the 1st record to match to ICP file.   If there is no match, convert DIST record without ACH instructions (ICP)</t>
    </r>
  </si>
  <si>
    <t>This is joined with PWSP by PLN-ID, PLN-KY-TY, and PLN-SQ-N on both files.</t>
  </si>
  <si>
    <t>This is joined with the other files PLN-ID AND PLN-SQ-N on both files.</t>
  </si>
  <si>
    <t>This is joined with the above to files where ICP-ES-STG-INSN-ID = PWFU-PLN-ID + PWFU-EFT-SUFX from PWFU.
Only ICP-ES-SI-TYPE (col 8-9) = ES will be used.  It is sorted by ICP-ES-CRTE-T (pos. 90-115), descending, so if duplicates, the greatest date will be used.
After this join, the PWFU data is dropped from the conversion (not available for mapping).</t>
  </si>
  <si>
    <t>1. Initialize to low values.
If CDC-JNL-ACCT (beg 651) is &gt; 0
and if PWSP-PMT-TY-***-C  = D (249-260) and CDC-JNL-SOURCE (beg 665) = JNL or IRACC, move 'H'</t>
  </si>
  <si>
    <t>1. Initialize to low values.
If PWSP-PMT-TY-***-C = A (col 249-260), move 'H'</t>
  </si>
  <si>
    <t>1. Initialize to low values.
If PWSP-PMT-TY-***-C = A (col 249-260), move 'H'.</t>
  </si>
  <si>
    <r>
      <rPr>
        <b/>
        <u/>
        <sz val="9"/>
        <rFont val="Arial"/>
        <family val="2"/>
      </rPr>
      <t>New Option #1</t>
    </r>
    <r>
      <rPr>
        <sz val="9"/>
        <rFont val="Arial"/>
        <family val="2"/>
      </rPr>
      <t xml:space="preserve">
1. Move spaces. </t>
    </r>
  </si>
  <si>
    <t>2. Move Financial Date.</t>
  </si>
  <si>
    <t>1. Initialize to low values.
If CDC-ACH-ABA (beg 678) is &gt; 0 and if PWSP-PMT-TY-***-C = E (col 249-260),  move 'Y'.</t>
  </si>
  <si>
    <t xml:space="preserve">1. Initialize to low values. 
If ICP-ES-SI-TYPE = ES (col 8-9), move ICP-ES-ABA-ID (col 901-909) if &gt; 0.
</t>
  </si>
  <si>
    <r>
      <t xml:space="preserve">1. Initialize to low values.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ICP-ES-ABA-ID (col 901-909) if &gt; 0.
</t>
    </r>
    <r>
      <rPr>
        <sz val="9"/>
        <color rgb="FFFF0000"/>
        <rFont val="Arial"/>
        <family val="2"/>
      </rPr>
      <t xml:space="preserve">Warning Report: 'Yes'
PWSP-PMT-TY-***C (col 249-260) = 'S' 
</t>
    </r>
  </si>
  <si>
    <t xml:space="preserve">1.  Initialize to low values.
If CDC-FREQUENCY (beg 239) is populated move 'X'.  </t>
  </si>
  <si>
    <t>1. Initialize to low values. 
If PWSP-PMT-TY-***-C = D (col 249-260) and PWSP-DIRC-BRCH-C (col 81-83) + PWSP-DIRC-BASE-C (col 84-89) is populated ,  use the ACCT DB to cross reference ‘MR’ +  PWSP-DIRC-BRCH-C (col 81-83) + PWSP-DIRC-BASE-C (col 84-89) to populate this field with new BETA account number.</t>
  </si>
  <si>
    <r>
      <t>1. Initialize to low values.  
If PWSP-PMT-TY-***-C = D (col 249-260) and PWSP-DIRC-BRCH-C (col 81-83) + PWSP-DIRC-BASE-C (col 84-89) is populated ,  use the ACCT DB to cross reference ‘</t>
    </r>
    <r>
      <rPr>
        <sz val="9"/>
        <color rgb="FFFF0000"/>
        <rFont val="Arial"/>
        <family val="2"/>
      </rPr>
      <t>PR</t>
    </r>
    <r>
      <rPr>
        <sz val="9"/>
        <color theme="1"/>
        <rFont val="Arial"/>
        <family val="2"/>
      </rPr>
      <t xml:space="preserve">’ +  PWSP-DIRC-BRCH-C (col 81-83) + PWSP-DIRC-BASE-C (col 84-89) to populate this field with new BETA account number.
</t>
    </r>
  </si>
  <si>
    <r>
      <t>1. Initialize to low values.  
If PWSP-PMT-TY-***-C = D (col 249-260) and PWSP-DIRC-BRCH-C (col 81-83) + PWSP-DIRC-BASE-C (col 84-89) is populated ,  use the ACCT DB to cross reference ‘</t>
    </r>
    <r>
      <rPr>
        <sz val="9"/>
        <color rgb="FFFF0000"/>
        <rFont val="Arial"/>
        <family val="2"/>
      </rPr>
      <t>PR’</t>
    </r>
    <r>
      <rPr>
        <sz val="9"/>
        <color theme="1"/>
        <rFont val="Arial"/>
        <family val="2"/>
      </rPr>
      <t xml:space="preserve"> +  PWSP-DIRC-BRCH-C (col 81-83) + PWSP-DIRC-BASE-C (col 84-89) to populate this field with new BETA account number.</t>
    </r>
  </si>
  <si>
    <t xml:space="preserve">1. Refer to FREQ BEGIN Table.
Yes: Warning Report: 8202 REPORTABLE BEGIN DATE (CDC-BEGIN-CYMD) </t>
  </si>
  <si>
    <t>LPL - Commerce Bank (COM)  
VARIABLE  08/19/2023</t>
  </si>
  <si>
    <t>LPL - Commerce Bank (COM)  
FIXED  08/19/2023</t>
  </si>
  <si>
    <t>LPL - Prudential (PRU)  
VARIABLE  11/06/2024</t>
  </si>
  <si>
    <t>LPL - Prudential (PRU)  
FIXED  11/06/2024</t>
  </si>
  <si>
    <t>LPL First Horizon
DIST Reverse Mapping</t>
  </si>
  <si>
    <t>023</t>
  </si>
  <si>
    <t>001</t>
  </si>
  <si>
    <t>FH</t>
  </si>
  <si>
    <t>V3</t>
  </si>
  <si>
    <t>W1</t>
  </si>
  <si>
    <t>Chevia Wilkins</t>
  </si>
  <si>
    <t>Sandy Bennett</t>
  </si>
  <si>
    <t>CS.CVT2025.LPL.FHR.PWSP</t>
  </si>
  <si>
    <t>CS.CVT2025.LPL.FHR.PWFU</t>
  </si>
  <si>
    <t>CS.CVT2025.LPL.FHR.ICP</t>
  </si>
  <si>
    <t>CS.CVT2025.LPL.FHR.PWAA</t>
  </si>
  <si>
    <t>Task#</t>
  </si>
  <si>
    <t>PURGE REPORT
Y / N</t>
  </si>
  <si>
    <t xml:space="preserve">Closed </t>
  </si>
  <si>
    <t xml:space="preserve">Y </t>
  </si>
  <si>
    <t xml:space="preserve"> Journal </t>
  </si>
  <si>
    <t>BLANK</t>
  </si>
  <si>
    <t xml:space="preserve">No distribution from this plan. </t>
  </si>
  <si>
    <t>Liquidation to Core</t>
  </si>
  <si>
    <t>Check Standing Instructions</t>
  </si>
  <si>
    <t>Intra Bank Payment</t>
  </si>
  <si>
    <r>
      <t xml:space="preserve">Converts to </t>
    </r>
    <r>
      <rPr>
        <b/>
        <sz val="9"/>
        <color indexed="8"/>
        <rFont val="Arial"/>
        <family val="2"/>
      </rPr>
      <t>END</t>
    </r>
    <r>
      <rPr>
        <sz val="9"/>
        <color indexed="8"/>
        <rFont val="Arial"/>
        <family val="2"/>
      </rPr>
      <t xml:space="preserve"> date - method to purge old accts</t>
    </r>
  </si>
  <si>
    <r>
      <t xml:space="preserve">If greater than mm/dd/yy
</t>
    </r>
    <r>
      <rPr>
        <i/>
        <sz val="9"/>
        <color indexed="8"/>
        <rFont val="Arial"/>
        <family val="2"/>
      </rPr>
      <t>(client to add date in COMMENTS field)</t>
    </r>
  </si>
  <si>
    <t>TASK</t>
  </si>
  <si>
    <t>NFS-PWSP-SCHD-TY (col 235)</t>
  </si>
  <si>
    <t>WARNING REPORT</t>
  </si>
  <si>
    <t>M, A, X, F or Space</t>
  </si>
  <si>
    <t xml:space="preserve">2025
</t>
  </si>
  <si>
    <t>M, A, X or Space</t>
  </si>
  <si>
    <t>01' (Jan)</t>
  </si>
  <si>
    <t>02' (Feb)</t>
  </si>
  <si>
    <t>03' (Mar)</t>
  </si>
  <si>
    <t>04' (Apr)</t>
  </si>
  <si>
    <t xml:space="preserve">
</t>
  </si>
  <si>
    <t>05' (May)</t>
  </si>
  <si>
    <t>06' (Jun)</t>
  </si>
  <si>
    <t>07' (Jul)</t>
  </si>
  <si>
    <t>08' (Aug)</t>
  </si>
  <si>
    <t>09' (Sep)</t>
  </si>
  <si>
    <t>10' (Oct)</t>
  </si>
  <si>
    <t>11' (Nov)</t>
  </si>
  <si>
    <t>12' (Dec)</t>
  </si>
  <si>
    <t>M, A, Q, X or Space</t>
  </si>
  <si>
    <t>MAR/JUN/SEP/DEC</t>
  </si>
  <si>
    <t>SB Note: PRCS-DY-N = 99</t>
  </si>
  <si>
    <t>JAN/APR/JUL/SEP</t>
  </si>
  <si>
    <t>FEB/MAY/AUG/NOV</t>
  </si>
  <si>
    <t xml:space="preserve">Semi-Monthly
</t>
  </si>
  <si>
    <t xml:space="preserve">DAILY
</t>
  </si>
  <si>
    <t>SPECIFIC DATE
(Weekly)</t>
  </si>
  <si>
    <t xml:space="preserve">W </t>
  </si>
  <si>
    <t xml:space="preserve">B-bi monthly
</t>
  </si>
  <si>
    <t xml:space="preserve">B-bi monthly
</t>
  </si>
  <si>
    <t xml:space="preserve">2025
</t>
  </si>
  <si>
    <t>Analysis: for PWSP-STAT-C = A or N</t>
  </si>
  <si>
    <t>M – Monthly (last Friday of the month)</t>
  </si>
  <si>
    <t>W – Weekly (every Friday of the month)</t>
  </si>
  <si>
    <t>X – Specific dates (one, two or three days per month)</t>
  </si>
  <si>
    <t>D – Daily</t>
  </si>
  <si>
    <t xml:space="preserve">Q – Quarterly (last Friday of March, June, September, December)
</t>
  </si>
  <si>
    <t>Blank</t>
  </si>
  <si>
    <t>A - Annual</t>
  </si>
  <si>
    <t>F - Frequently (weekly and the first business day after each of the following date 1st, 15th, 22nd)</t>
  </si>
  <si>
    <t>S - Semi-Annual (second and last Friday of the month)</t>
  </si>
  <si>
    <t>New Option 2:
2. Initialize to low values.
If PWSP-PMT-TY-***-C = A (col 249-260), move PWAA-BNK-NM (col 241) if &gt; spaces else move PWAA-ADDR-1 (col 49-80).  
Write account to warning report (MSGT = 5721).</t>
  </si>
  <si>
    <t>New Option 2:
2. Initialize to low values.
If PWSP-PMT-TY-***-C = A (col 249-260) and PWAA-BNK-NM (col 241) is &gt; spaces move PWAA-ADDR-1 (col 49-80) else move PWAA-ADDR-2 (col 81-112). 
Write account to warning report. (MSGT = 5722).</t>
  </si>
  <si>
    <t>New Option 2:
2. Initialize to low values.
If PWSP-PMT-TY-***-C = A (col 249-260) and PWAA-BNK-NM (col 241) is &gt; spaces move PWAA-ADDR-2 (col 81-112) else move PWAA-ADDR-3 (col 113-144). 
Write account to warning report. (MSGT = 5723).</t>
  </si>
  <si>
    <t>New Option 2:
2. Initialize to low values.
If PWSP-PMT-TY-***-C = A (col 249-260) and PWAA-BNK-NM (col 241) is &gt; spaces move PWAA-ADDR-3 (col 113-144) else move PWAA-ADDR-4 (col 145-176). 
Write account to warning report. (MSGT = 5724).</t>
  </si>
  <si>
    <t>New Option 2:
2. Initialize to low values.
If PWSP-PMT-TY-***-C = A (col 249-260) and PWAA-BNK-NM (col 241) is &gt; spaces move PWAA-ADDR-4 (col 145-176) else move PWAA-ADDR-5 (col 177-208). 
Write account to warning report.  (MSGT = 5725)</t>
  </si>
  <si>
    <t>New Option 2:
2. Initialize to low values.
If PWSP-PMT-TY-***-C = A (col 249-260) and PWAA-BNK-NM (col 241) is &gt; spaces move PWAA-ADDR-5 (col 177-208) else move PWAA-ADDR-6 (col 209-240). 
Write account to warning report. (MSGT = 5726).</t>
  </si>
  <si>
    <r>
      <t>1. Initialize to low values.  
If PWSP-PMT-TY-***-C = D (col 249-260) and PWSP-DIRC-BRCH-C (col 81-83) + PWSP-DIRC-BASE-C (col 84-89) is populated ,  use the ACCT DB to cross reference ‘</t>
    </r>
    <r>
      <rPr>
        <sz val="9"/>
        <color rgb="FFFF0000"/>
        <rFont val="Arial"/>
        <family val="2"/>
      </rPr>
      <t>WP’</t>
    </r>
    <r>
      <rPr>
        <sz val="9"/>
        <color theme="1"/>
        <rFont val="Arial"/>
        <family val="2"/>
      </rPr>
      <t xml:space="preserve"> +  PWSP-DIRC-BRCH-C (col 81-83) + PWSP-DIRC-BASE-C (col 84-89) to populate this field with new BETA account number.</t>
    </r>
  </si>
  <si>
    <r>
      <t>1. Initialize to low values.  
If PWSP-PMT-TY-***-C = D (col 249-260) and PWSP-DIRC-BRCH-C (col 81-83) + PWSP-DIRC-BASE-C (col 84-89) is populated ,  use the ACCT DB to cross reference ‘</t>
    </r>
    <r>
      <rPr>
        <sz val="9"/>
        <color rgb="FFFF0000"/>
        <rFont val="Arial"/>
        <family val="2"/>
      </rPr>
      <t>WP</t>
    </r>
    <r>
      <rPr>
        <sz val="9"/>
        <color theme="1"/>
        <rFont val="Arial"/>
        <family val="2"/>
      </rPr>
      <t xml:space="preserve">’ +  PWSP-DIRC-BRCH-C (col 81-83) + PWSP-DIRC-BASE-C (col 84-89) to populate this field with new BETA account number.
</t>
    </r>
  </si>
  <si>
    <t xml:space="preserve">1. Initialize to low values.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ICP-ES-ABA-ID (col 901-909) if &gt; 0.
Warning Report: YES
PWSP-PMT-TY-***C (col 249-260) = 'S' 
</t>
  </si>
  <si>
    <t xml:space="preserve">New Option 2
2. Initialize to low values.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ICP-ES-ABA-ID (col 901-909) if &gt; 0.
Warning Report: YES
PWSP-PMT-TY-***C (col 249-260) = 'S' 
</t>
  </si>
  <si>
    <t>New Option 2
2.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ICP-ES-BEN-ACC-ID (col 1022-1038).</t>
  </si>
  <si>
    <t>New Option 2
2.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ICP-ES-BEN-ACC-TY-C (col 1039).</t>
  </si>
  <si>
    <t xml:space="preserve">1. Move spaces. </t>
  </si>
  <si>
    <t>LPL - WIS (NWI)
VARIABLE  as of 4/29/25</t>
  </si>
  <si>
    <t xml:space="preserve">LPL - WIS (NWI)
FIXED as of 4/29/25 </t>
  </si>
  <si>
    <t xml:space="preserve">If the client would like to add withholding percentages, a DISTRBTN SOURCE Table must be added instead of pulling from LRPT.
</t>
  </si>
  <si>
    <t xml:space="preserve">1. Initialize to low values.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ICP-ES-ABA-ID (col 901-909) if &gt; 0.
Y/N - Warning Report: If PWSP-PMT-TY-***C (col 249-260) = 'S'. 
</t>
  </si>
  <si>
    <t xml:space="preserve">2. Initialize to low values.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ICP-ES-ABA-ID (col 901-909) if &gt; 0.
Y/N - Warning Report: If PWSP-PMT-TY-***C (col 249-260) = 'S' 
</t>
  </si>
  <si>
    <t>2.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ICP-ES-BEN-ACC-ID (col 1022-1038).</t>
  </si>
  <si>
    <t>2.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ICP-ES-BEN-ACC-TY-C (col 1039).</t>
  </si>
  <si>
    <t>2. Initialize to low values.
If PWSP-PMT-TY-***-C = A (col 249-260), move PWAA-BNK-NM (col 241) if &gt; spaces else move PWAA-ADDR-1 (col 49-80).  
Write account to warning report (MSGT = 5721).</t>
  </si>
  <si>
    <t>2. Initialize to low values.
If PWSP-PMT-TY-***-C = A (col 249-260) and PWAA-BNK-NM (col 241) is &gt; spaces move PWAA-ADDR-1 (col 49-80) else move PWAA-ADDR-2 (col 81-112). 
Write account to warning report. (MSGT = 5722).</t>
  </si>
  <si>
    <t>2. Initialize to low values.
If PWSP-PMT-TY-***-C = A (col 249-260) and PWAA-BNK-NM (col 241) is &gt; spaces move PWAA-ADDR-2 (col 81-112) else move PWAA-ADDR-3 (col 113-144). 
Write account to warning report. (MSGT = 5723).</t>
  </si>
  <si>
    <t>2. Initialize to low values.
If PWSP-PMT-TY-***-C = A (col 249-260) and PWAA-BNK-NM (col 241) is &gt; spaces move PWAA-ADDR-3 (col 113-144) else move PWAA-ADDR-4 (col 145-176). 
Write account to warning report. (MSGT = 5724).</t>
  </si>
  <si>
    <t>2. Initialize to low values.
If PWSP-PMT-TY-***-C = A (col 249-260) and PWAA-BNK-NM (col 241) is &gt; spaces move PWAA-ADDR-4 (col 145-176) else move PWAA-ADDR-5 (col 177-208). 
Write account to warning report.  (MSGT = 5725)</t>
  </si>
  <si>
    <t>2. Initialize to low values.
If PWSP-PMT-TY-***-C = A (col 249-260) and PWAA-BNK-NM (col 241) is &gt; spaces move PWAA-ADDR-5 (col 177-208) else move PWAA-ADDR-6 (col 209-240). 
Write account to warning report. (MSGT = 5726).</t>
  </si>
  <si>
    <t>2. Initialize to low values. 
If CDC-ACH-ABA (beg 678) is &gt; 0 and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ICP-ES-BEN-ACC-ID (col 1022-1038).</t>
  </si>
  <si>
    <t xml:space="preserve">2. Initialize to low values. 
If PWSP-PMT-TY-***-C = E (col 249-260):  join files using PWSP-PLN-ID (col 1-9) and PWSP-PLN-SQ-N (col 11-12),  PWFU-PLN-ID (col 1-9) and PWFU-PLN-SQ-N (col 11-12), retrieve PWFU-EFT-SUFX (col 42-43). 
Using PWFU-PLN-ID (col 1-9) + PWFU-EFT-SUFX (col 42-43), cross-reference those values to ICP-ES-STG-INSN-ID (col 10-29) to find corresponding  record, move ICP-ES-ABA-ID (col 901-909) if &gt; 0.
Warning Report: YES
PWSP-PMT-TY-***C (col 249-260) = 'S' 
</t>
  </si>
  <si>
    <r>
      <t>1. Initialize to low values.  
If PWSP-PMT-TY-***-C = D (col 249-260) and PWSP-DIRC-BRCH-C (col 81-83) + PWSP-DIRC-BASE-C (col 84-89) is populated ,  use the ACCT DB to cross reference ‘</t>
    </r>
    <r>
      <rPr>
        <sz val="9"/>
        <color rgb="FFFF0000"/>
        <rFont val="Arial"/>
        <family val="2"/>
      </rPr>
      <t>FH’</t>
    </r>
    <r>
      <rPr>
        <sz val="9"/>
        <color theme="1"/>
        <rFont val="Arial"/>
        <family val="2"/>
      </rPr>
      <t xml:space="preserve"> +  PWSP-DIRC-BRCH-C (col 81-83) + PWSP-DIRC-BASE-C (col 84-89) to populate this field with new BETA account number.</t>
    </r>
  </si>
  <si>
    <r>
      <t>1. Initialize to low values.  
If PWSP-PMT-TY-***-C = D (col 249-260) and PWSP-DIRC-BRCH-C (col 81-83) + PWSP-DIRC-BASE-C (col 84-89) is populated ,  use the ACCT DB to cross reference ‘</t>
    </r>
    <r>
      <rPr>
        <sz val="9"/>
        <color rgb="FFFF0000"/>
        <rFont val="Arial"/>
        <family val="2"/>
      </rPr>
      <t>FH</t>
    </r>
    <r>
      <rPr>
        <sz val="9"/>
        <color theme="1"/>
        <rFont val="Arial"/>
        <family val="2"/>
      </rPr>
      <t xml:space="preserve">’ +  PWSP-DIRC-BRCH-C (col 81-83) + PWSP-DIRC-BASE-C (col 84-89) to populate this field with new BETA account number.
</t>
    </r>
  </si>
  <si>
    <r>
      <t xml:space="preserve">See Client's previous mapping.
And see notes below table for mapping.
</t>
    </r>
    <r>
      <rPr>
        <sz val="11"/>
        <color rgb="FF800080"/>
        <rFont val="Calibri"/>
        <family val="2"/>
        <scheme val="minor"/>
      </rPr>
      <t xml:space="preserve">Non-Financial =  08/13/25
First Trade Date = 08/22/25
Financial = 08/23/25
</t>
    </r>
    <r>
      <rPr>
        <sz val="11"/>
        <color theme="1"/>
        <rFont val="Calibri"/>
        <family val="2"/>
        <scheme val="minor"/>
      </rPr>
      <t>1st Business day after Finacial = 06/09/25</t>
    </r>
  </si>
  <si>
    <t>NFS-PWSP-PRCS-DY-N (col 64-65 and the '08' (AUG)</t>
  </si>
  <si>
    <r>
      <t xml:space="preserve">INCLUSION CRITERION
</t>
    </r>
    <r>
      <rPr>
        <b/>
        <sz val="12"/>
        <rFont val="Calibri"/>
        <family val="2"/>
      </rPr>
      <t>NFS PWSP file</t>
    </r>
  </si>
  <si>
    <t>cnif = 2230</t>
  </si>
  <si>
    <t>Early Distribution</t>
  </si>
  <si>
    <t xml:space="preserve">Disability Distribution </t>
  </si>
  <si>
    <t xml:space="preserve">Death Distribution </t>
  </si>
  <si>
    <t xml:space="preserve">Normal Distribution </t>
  </si>
  <si>
    <t>Prem Distribution</t>
  </si>
  <si>
    <t>If NFS-PWSP-PRCS-DY-N (col 64-65)  &gt;=23, 
Year = 2026</t>
  </si>
  <si>
    <t>If NFS-PWSP-PRCS-DY-N (col 64-65) &lt;23, 
Year = 2025</t>
  </si>
  <si>
    <t xml:space="preserve">2. Initialize to low values.  
If PWSP-PMT-TY-***-C = A (col 249-260), Move 'H'
</t>
  </si>
  <si>
    <t>Remove duplicate</t>
  </si>
  <si>
    <t>If NFS-PWSP-PRCS-DY-N (col 64-65)  &gt;=23, 
then MONTH = '08' AUG</t>
  </si>
  <si>
    <r>
      <t xml:space="preserve">If NFS-PWSP-PRCS-DY-N (col 64-65) &lt;23, 
then MONTH = </t>
    </r>
    <r>
      <rPr>
        <b/>
        <sz val="8"/>
        <color rgb="FFFF0000"/>
        <rFont val="Arial"/>
        <family val="2"/>
      </rPr>
      <t>'02' (FEB)</t>
    </r>
  </si>
  <si>
    <r>
      <t xml:space="preserve">If NFS-PWSP-PRCS-DY-N (col 64-65)  &gt;=23, 
then MONTH = </t>
    </r>
    <r>
      <rPr>
        <b/>
        <sz val="8"/>
        <color rgb="FFFF0000"/>
        <rFont val="Arial"/>
        <family val="2"/>
      </rPr>
      <t>'08' AUG</t>
    </r>
  </si>
  <si>
    <r>
      <t xml:space="preserve">If NFS-PWSP-PRCS-DY-N (col 64-65) </t>
    </r>
    <r>
      <rPr>
        <b/>
        <sz val="8"/>
        <color rgb="FFFF0000"/>
        <rFont val="Arial"/>
        <family val="2"/>
      </rPr>
      <t xml:space="preserve">&gt;=23, </t>
    </r>
    <r>
      <rPr>
        <b/>
        <sz val="8"/>
        <rFont val="Arial"/>
        <family val="2"/>
      </rPr>
      <t xml:space="preserve">
then MONTH = '08' (AUG)</t>
    </r>
  </si>
  <si>
    <r>
      <t xml:space="preserve">If NFS-PWSP-PRCS-DY-N (col 64-65)  </t>
    </r>
    <r>
      <rPr>
        <b/>
        <sz val="8"/>
        <color rgb="FFFF0000"/>
        <rFont val="Arial"/>
        <family val="2"/>
      </rPr>
      <t xml:space="preserve">&lt;23, </t>
    </r>
    <r>
      <rPr>
        <b/>
        <sz val="8"/>
        <rFont val="Arial"/>
        <family val="2"/>
      </rPr>
      <t xml:space="preserve">
then MONTH = '11' (NOV)</t>
    </r>
  </si>
  <si>
    <r>
      <t xml:space="preserve">If NFS-PWSP-PRCS-DY-N (col 64-65)  </t>
    </r>
    <r>
      <rPr>
        <b/>
        <sz val="8"/>
        <color rgb="FFFF0000"/>
        <rFont val="Arial"/>
        <family val="2"/>
      </rPr>
      <t xml:space="preserve">&lt;23, </t>
    </r>
    <r>
      <rPr>
        <b/>
        <sz val="8"/>
        <rFont val="Arial"/>
        <family val="2"/>
      </rPr>
      <t xml:space="preserve">
then MONTH = </t>
    </r>
    <r>
      <rPr>
        <b/>
        <sz val="8"/>
        <color rgb="FFFF0000"/>
        <rFont val="Arial"/>
        <family val="2"/>
      </rPr>
      <t>'11' (NOV)</t>
    </r>
  </si>
  <si>
    <t>If NFS-PWSP-PRCS-DY-N (col 64-65)
  &gt;=23, 
then MONTH = '08' AUG</t>
  </si>
  <si>
    <r>
      <t xml:space="preserve">If NFS-PWSP-PRCS-DY-N (col 64-65) </t>
    </r>
    <r>
      <rPr>
        <b/>
        <sz val="8"/>
        <color rgb="FFFF0000"/>
        <rFont val="Arial"/>
        <family val="2"/>
      </rPr>
      <t xml:space="preserve">&gt;=23, </t>
    </r>
    <r>
      <rPr>
        <b/>
        <sz val="8"/>
        <rFont val="Arial"/>
        <family val="2"/>
      </rPr>
      <t xml:space="preserve">
then MONTH = '08' (Aug)</t>
    </r>
  </si>
  <si>
    <t>New row</t>
  </si>
  <si>
    <r>
      <t xml:space="preserve">If NFS-PWSP-PRCS-DY-N (col 64-65)
  &lt;23, 
then MONTH = </t>
    </r>
    <r>
      <rPr>
        <b/>
        <sz val="8"/>
        <color rgb="FFFF0000"/>
        <rFont val="Arial"/>
        <family val="2"/>
      </rPr>
      <t>'09' SEP</t>
    </r>
  </si>
  <si>
    <t>If NFS-PWSP-PRCS-DY-N (col 64-65) &lt;23, 
then MONTH = '09' SEP</t>
  </si>
  <si>
    <t>SB</t>
  </si>
  <si>
    <t>FREQ BEGIN table updates from LPL.</t>
  </si>
  <si>
    <t>5729 Warning Message for only 'S' records. Removed 'S' records from logic.</t>
  </si>
  <si>
    <r>
      <rPr>
        <b/>
        <strike/>
        <sz val="8"/>
        <rFont val="Arial"/>
        <family val="2"/>
      </rPr>
      <t>If NFS-PWSP-PRCS-DY-N (col 64-65)
  &gt;=23, 
then</t>
    </r>
    <r>
      <rPr>
        <b/>
        <sz val="8"/>
        <rFont val="Arial"/>
        <family val="2"/>
      </rPr>
      <t xml:space="preserve"> MONTH = '08' AUG</t>
    </r>
  </si>
  <si>
    <t>1.  Initialize to Low values.</t>
  </si>
  <si>
    <t xml:space="preserve">2.  IF DIST-CDC-ACH-ABA  &gt; 0
    MOVE ZERO  </t>
  </si>
  <si>
    <t>3. Move 'Income Distribution'</t>
  </si>
  <si>
    <t xml:space="preserve">2. Initialize to low values. 
If CDC-DIV-CODE (beg 469) = X, move 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</si>
</sst>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72">
    <font>
      <sz val="11"/>
      <color theme="1"/>
      <name val="Calibri"/>
      <family val="2"/>
      <scheme val="minor"/>
    </font>
    <font>
      <b/>
      <sz val="9"/>
      <name val="Arial"/>
      <family val="2"/>
    </font>
    <font>
      <sz val="9"/>
      <name val="Arial"/>
      <family val="2"/>
    </font>
    <font>
      <b/>
      <i/>
      <sz val="9"/>
      <color indexed="8"/>
      <name val="Arial"/>
      <family val="2"/>
    </font>
    <font>
      <sz val="9"/>
      <color indexed="8"/>
      <name val="Arial"/>
      <family val="2"/>
    </font>
    <font>
      <i/>
      <sz val="9"/>
      <color indexed="8"/>
      <name val="Arial"/>
      <family val="2"/>
    </font>
    <font>
      <u/>
      <sz val="9"/>
      <name val="Arial"/>
      <family val="2"/>
    </font>
    <font>
      <sz val="10"/>
      <color indexed="8"/>
      <name val="Arial"/>
      <family val="2"/>
    </font>
    <font>
      <b/>
      <sz val="9"/>
      <color indexed="8"/>
      <name val="Arial"/>
      <family val="2"/>
    </font>
    <font>
      <b/>
      <sz val="11"/>
      <color indexed="8"/>
      <name val="Calibri"/>
      <family val="2"/>
    </font>
    <font>
      <sz val="8"/>
      <name val="Arial"/>
      <family val="2"/>
    </font>
    <font>
      <sz val="9"/>
      <color indexed="10"/>
      <name val="Arial"/>
      <family val="2"/>
    </font>
    <font>
      <sz val="9"/>
      <color indexed="36"/>
      <name val="Arial"/>
      <family val="2"/>
    </font>
    <font>
      <sz val="11"/>
      <color theme="0"/>
      <name val="Calibri"/>
      <family val="2"/>
      <scheme val="minor"/>
    </font>
    <font>
      <u/>
      <sz val="8.8000000000000007"/>
      <color theme="10"/>
      <name val="Calibri"/>
      <family val="2"/>
    </font>
    <font>
      <sz val="10"/>
      <color theme="1"/>
      <name val="Calibri"/>
      <family val="2"/>
      <scheme val="minor"/>
    </font>
    <font>
      <b/>
      <sz val="11"/>
      <color theme="1"/>
      <name val="Calibri"/>
      <family val="2"/>
      <scheme val="minor"/>
    </font>
    <font>
      <sz val="11"/>
      <color rgb="FFFF0000"/>
      <name val="Calibri"/>
      <family val="2"/>
      <scheme val="minor"/>
    </font>
    <font>
      <b/>
      <sz val="9"/>
      <color theme="1"/>
      <name val="Arial (W1)"/>
      <family val="2"/>
    </font>
    <font>
      <sz val="9"/>
      <color theme="1"/>
      <name val="Arial (W1)"/>
      <family val="2"/>
    </font>
    <font>
      <sz val="9"/>
      <color theme="1"/>
      <name val="Arial"/>
      <family val="2"/>
    </font>
    <font>
      <b/>
      <sz val="9"/>
      <color theme="1"/>
      <name val="Arial"/>
      <family val="2"/>
    </font>
    <font>
      <sz val="9"/>
      <color rgb="FF0000FF"/>
      <name val="Arial"/>
      <family val="2"/>
    </font>
    <font>
      <sz val="9"/>
      <color theme="10"/>
      <name val="Arial"/>
      <family val="2"/>
    </font>
    <font>
      <b/>
      <sz val="9"/>
      <color rgb="FFFF0000"/>
      <name val="Arial"/>
      <family val="2"/>
    </font>
    <font>
      <b/>
      <sz val="14"/>
      <color theme="1"/>
      <name val="Arial"/>
      <family val="2"/>
    </font>
    <font>
      <b/>
      <sz val="9"/>
      <color rgb="FFFF0000"/>
      <name val="Arial (W1)"/>
      <family val="2"/>
    </font>
    <font>
      <sz val="9"/>
      <color rgb="FF000000"/>
      <name val="Arial (W1)"/>
      <family val="2"/>
    </font>
    <font>
      <b/>
      <sz val="9"/>
      <color theme="1"/>
      <name val="Arial (W1)"/>
    </font>
    <font>
      <sz val="9"/>
      <color rgb="FF000000"/>
      <name val="Arial"/>
      <family val="2"/>
    </font>
    <font>
      <b/>
      <sz val="9"/>
      <color theme="0"/>
      <name val="Arial"/>
      <family val="2"/>
    </font>
    <font>
      <sz val="9"/>
      <color theme="1"/>
      <name val="Wingdings"/>
      <charset val="2"/>
    </font>
    <font>
      <u/>
      <sz val="9"/>
      <color theme="10"/>
      <name val="Arial"/>
      <family val="2"/>
    </font>
    <font>
      <sz val="9"/>
      <color theme="1"/>
      <name val="Calibri"/>
      <family val="2"/>
      <scheme val="minor"/>
    </font>
    <font>
      <i/>
      <sz val="9"/>
      <color theme="1"/>
      <name val="Arial"/>
      <family val="2"/>
    </font>
    <font>
      <sz val="9"/>
      <color rgb="FFFF0000"/>
      <name val="Arial"/>
      <family val="2"/>
    </font>
    <font>
      <sz val="9"/>
      <color theme="0"/>
      <name val="Arial"/>
      <family val="2"/>
    </font>
    <font>
      <sz val="10"/>
      <color theme="1"/>
      <name val="Arial"/>
      <family val="2"/>
    </font>
    <font>
      <sz val="8"/>
      <color theme="1"/>
      <name val="Arial"/>
      <family val="2"/>
    </font>
    <font>
      <sz val="8"/>
      <color rgb="FFFF0000"/>
      <name val="Arial"/>
      <family val="2"/>
    </font>
    <font>
      <sz val="11"/>
      <color rgb="FF000000"/>
      <name val="Calibri"/>
      <family val="2"/>
    </font>
    <font>
      <b/>
      <u/>
      <sz val="11"/>
      <color rgb="FF000000"/>
      <name val="Calibri"/>
      <family val="2"/>
    </font>
    <font>
      <sz val="11"/>
      <color rgb="FF00B050"/>
      <name val="Calibri"/>
      <family val="2"/>
    </font>
    <font>
      <sz val="11"/>
      <color rgb="FFFF0000"/>
      <name val="Calibri"/>
      <family val="2"/>
    </font>
    <font>
      <sz val="11"/>
      <name val="Calibri"/>
      <family val="2"/>
    </font>
    <font>
      <sz val="9"/>
      <color rgb="FF0000FF"/>
      <name val="Arial"/>
      <family val="2"/>
    </font>
    <font>
      <u/>
      <sz val="9"/>
      <color rgb="FFFF0000"/>
      <name val="Arial"/>
      <family val="2"/>
    </font>
    <font>
      <strike/>
      <sz val="9"/>
      <color rgb="FF000000"/>
      <name val="Arial"/>
      <family val="2"/>
    </font>
    <font>
      <b/>
      <u/>
      <sz val="9"/>
      <color rgb="FFFF0000"/>
      <name val="Arial"/>
      <family val="2"/>
    </font>
    <font>
      <b/>
      <sz val="9"/>
      <color rgb="FF000000"/>
      <name val="Arial"/>
      <family val="2"/>
    </font>
    <font>
      <strike/>
      <sz val="9"/>
      <name val="Arial"/>
      <family val="2"/>
    </font>
    <font>
      <sz val="9"/>
      <name val="Arial"/>
      <family val="2"/>
    </font>
    <font>
      <b/>
      <u/>
      <sz val="9"/>
      <name val="Arial"/>
      <family val="2"/>
    </font>
    <font>
      <u/>
      <sz val="11"/>
      <color theme="10"/>
      <name val="Calibri"/>
      <family val="2"/>
      <scheme val="minor"/>
    </font>
    <font>
      <sz val="11"/>
      <color rgb="FF800080"/>
      <name val="Calibri"/>
      <family val="2"/>
      <scheme val="minor"/>
    </font>
    <font>
      <strike/>
      <sz val="11"/>
      <color rgb="FFFF0000"/>
      <name val="Calibri"/>
      <family val="2"/>
      <scheme val="minor"/>
    </font>
    <font>
      <b/>
      <sz val="11"/>
      <name val="Calibri"/>
      <family val="2"/>
      <scheme val="minor"/>
    </font>
    <font>
      <b/>
      <sz val="8"/>
      <name val="Arial"/>
      <family val="2"/>
    </font>
    <font>
      <sz val="9"/>
      <color rgb="FF0000FF"/>
      <name val="Calibri"/>
      <family val="2"/>
      <scheme val="minor"/>
    </font>
    <font>
      <strike/>
      <sz val="8"/>
      <color theme="1"/>
      <name val="Arial"/>
      <family val="2"/>
    </font>
    <font>
      <sz val="11"/>
      <color rgb="FF0000FF"/>
      <name val="Calibri"/>
      <family val="2"/>
      <scheme val="minor"/>
    </font>
    <font>
      <sz val="11"/>
      <color rgb="FFC00000"/>
      <name val="Calibri"/>
      <family val="2"/>
      <scheme val="minor"/>
    </font>
    <font>
      <sz val="8"/>
      <color rgb="FF0000FF"/>
      <name val="Arial"/>
      <family val="2"/>
    </font>
    <font>
      <b/>
      <sz val="12"/>
      <color theme="1"/>
      <name val="Calibri"/>
      <family val="2"/>
      <scheme val="minor"/>
    </font>
    <font>
      <b/>
      <sz val="12"/>
      <name val="Calibri"/>
      <family val="2"/>
    </font>
    <font>
      <strike/>
      <sz val="9"/>
      <color theme="1"/>
      <name val="Arial"/>
      <family val="2"/>
    </font>
    <font>
      <strike/>
      <sz val="8"/>
      <color rgb="FFFF0000"/>
      <name val="Arial"/>
      <family val="2"/>
    </font>
    <font>
      <b/>
      <strike/>
      <sz val="11"/>
      <color rgb="FFFF0000"/>
      <name val="Calibri"/>
      <family val="2"/>
      <scheme val="minor"/>
    </font>
    <font>
      <b/>
      <strike/>
      <sz val="8"/>
      <color rgb="FFFF0000"/>
      <name val="Arial"/>
      <family val="2"/>
    </font>
    <font>
      <b/>
      <sz val="8"/>
      <color rgb="FFFF0000"/>
      <name val="Arial"/>
      <family val="2"/>
    </font>
    <font>
      <b/>
      <sz val="11"/>
      <color rgb="FFFF0000"/>
      <name val="Calibri"/>
      <family val="2"/>
      <scheme val="minor"/>
    </font>
    <font>
      <b/>
      <strike/>
      <sz val="8"/>
      <name val="Arial"/>
      <family val="2"/>
    </font>
  </fonts>
  <fills count="20">
    <fill>
      <patternFill patternType="none"/>
    </fill>
    <fill>
      <patternFill patternType="gray125"/>
    </fill>
    <fill>
      <patternFill patternType="solid">
        <fgColor theme="4"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24994659260841701"/>
        <bgColor indexed="64"/>
      </patternFill>
    </fill>
    <fill>
      <patternFill patternType="solid">
        <fgColor theme="0" tint="-0.14996795556505021"/>
        <bgColor indexed="64"/>
      </patternFill>
    </fill>
    <fill>
      <patternFill patternType="solid">
        <fgColor theme="9" tint="0.39997558519241921"/>
        <bgColor indexed="64"/>
      </patternFill>
    </fill>
    <fill>
      <patternFill patternType="solid">
        <fgColor rgb="FFE0E0E0"/>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rgb="FFBFBFBF"/>
        <bgColor rgb="FF000000"/>
      </patternFill>
    </fill>
    <fill>
      <patternFill patternType="solid">
        <fgColor rgb="FFFFFF00"/>
        <bgColor rgb="FF000000"/>
      </patternFill>
    </fill>
    <fill>
      <patternFill patternType="solid">
        <fgColor rgb="FFD9D9D9"/>
        <bgColor rgb="FF000000"/>
      </patternFill>
    </fill>
    <fill>
      <patternFill patternType="solid">
        <fgColor rgb="FFD8E4BC"/>
        <bgColor rgb="FF000000"/>
      </patternFill>
    </fill>
    <fill>
      <patternFill patternType="solid">
        <fgColor theme="0"/>
        <bgColor rgb="FF000000"/>
      </patternFill>
    </fill>
    <fill>
      <patternFill patternType="solid">
        <fgColor rgb="FFFFFFFF"/>
        <bgColor rgb="FF000000"/>
      </patternFill>
    </fill>
    <fill>
      <patternFill patternType="solid">
        <fgColor rgb="FFA6A6A6"/>
        <bgColor rgb="FF000000"/>
      </patternFill>
    </fill>
    <fill>
      <patternFill patternType="solid">
        <fgColor theme="5" tint="0.7999816888943144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bottom style="thin">
        <color indexed="64"/>
      </bottom>
      <diagonal/>
    </border>
    <border>
      <left/>
      <right style="thin">
        <color theme="0" tint="-0.14999847407452621"/>
      </right>
      <top/>
      <bottom/>
      <diagonal/>
    </border>
    <border>
      <left style="thin">
        <color rgb="FF000000"/>
      </left>
      <right/>
      <top style="thin">
        <color rgb="FF000000"/>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medium">
        <color rgb="FFFF0000"/>
      </right>
      <top style="thin">
        <color indexed="64"/>
      </top>
      <bottom style="thin">
        <color indexed="64"/>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indexed="64"/>
      </bottom>
      <diagonal/>
    </border>
    <border>
      <left/>
      <right/>
      <top style="thin">
        <color indexed="64"/>
      </top>
      <bottom/>
      <diagonal/>
    </border>
    <border>
      <left style="thin">
        <color rgb="FF000000"/>
      </left>
      <right style="thin">
        <color indexed="64"/>
      </right>
      <top style="thin">
        <color rgb="FF000000"/>
      </top>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medium">
        <color rgb="FFFF0000"/>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rgb="FFFF0000"/>
      </right>
      <top/>
      <bottom style="medium">
        <color indexed="64"/>
      </bottom>
      <diagonal/>
    </border>
    <border>
      <left style="medium">
        <color rgb="FFFF0000"/>
      </left>
      <right style="thin">
        <color indexed="64"/>
      </right>
      <top/>
      <bottom style="medium">
        <color indexed="64"/>
      </bottom>
      <diagonal/>
    </border>
    <border>
      <left style="thin">
        <color indexed="64"/>
      </left>
      <right/>
      <top/>
      <bottom style="thin">
        <color indexed="64"/>
      </bottom>
      <diagonal/>
    </border>
    <border>
      <left style="medium">
        <color rgb="FFFF0000"/>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rgb="FFFF0000"/>
      </left>
      <right style="thin">
        <color indexed="64"/>
      </right>
      <top style="thin">
        <color indexed="64"/>
      </top>
      <bottom style="medium">
        <color indexed="64"/>
      </bottom>
      <diagonal/>
    </border>
    <border>
      <left style="medium">
        <color rgb="FFFF0000"/>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rgb="FFFF0000"/>
      </left>
      <right style="thin">
        <color indexed="64"/>
      </right>
      <top style="medium">
        <color indexed="64"/>
      </top>
      <bottom style="thin">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rgb="FFFF0000"/>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7">
    <xf numFmtId="0" fontId="0" fillId="0" borderId="0"/>
    <xf numFmtId="0" fontId="14" fillId="0" borderId="0" applyNumberFormat="0" applyFill="0" applyBorder="0" applyAlignment="0" applyProtection="0">
      <alignment vertical="top"/>
      <protection locked="0"/>
    </xf>
    <xf numFmtId="0" fontId="15" fillId="0" borderId="0"/>
    <xf numFmtId="0" fontId="15" fillId="0" borderId="0"/>
    <xf numFmtId="0" fontId="15" fillId="0" borderId="0"/>
    <xf numFmtId="0" fontId="15" fillId="0" borderId="0"/>
    <xf numFmtId="0" fontId="53" fillId="0" borderId="0" applyNumberFormat="0" applyFill="0" applyBorder="0" applyAlignment="0" applyProtection="0"/>
  </cellStyleXfs>
  <cellXfs count="508">
    <xf numFmtId="0" fontId="0" fillId="0" borderId="0" xfId="0"/>
    <xf numFmtId="0" fontId="18" fillId="0" borderId="0" xfId="0" applyFont="1"/>
    <xf numFmtId="0" fontId="19" fillId="0" borderId="0" xfId="0" applyFont="1"/>
    <xf numFmtId="0" fontId="20" fillId="0" borderId="0" xfId="0" applyFont="1"/>
    <xf numFmtId="49" fontId="20" fillId="0" borderId="1" xfId="0" applyNumberFormat="1" applyFont="1" applyBorder="1" applyAlignment="1">
      <alignment horizontal="left" vertical="top" wrapText="1"/>
    </xf>
    <xf numFmtId="0" fontId="2" fillId="0" borderId="1" xfId="0" applyFont="1" applyBorder="1" applyAlignment="1" applyProtection="1">
      <alignment vertical="top" wrapText="1"/>
      <protection locked="0"/>
    </xf>
    <xf numFmtId="0" fontId="20" fillId="0" borderId="0" xfId="0" applyFont="1" applyAlignment="1">
      <alignment vertical="top" wrapText="1"/>
    </xf>
    <xf numFmtId="0" fontId="20" fillId="0" borderId="0" xfId="0" applyFont="1" applyAlignment="1">
      <alignment vertical="top"/>
    </xf>
    <xf numFmtId="0" fontId="20" fillId="0" borderId="0" xfId="0" applyFont="1" applyAlignment="1" applyProtection="1">
      <alignment vertical="top"/>
      <protection locked="0"/>
    </xf>
    <xf numFmtId="0" fontId="20" fillId="0" borderId="0" xfId="0" applyFont="1" applyAlignment="1" applyProtection="1">
      <alignment vertical="top" wrapText="1"/>
      <protection locked="0"/>
    </xf>
    <xf numFmtId="49" fontId="20" fillId="0" borderId="0" xfId="0" applyNumberFormat="1" applyFont="1" applyAlignment="1" applyProtection="1">
      <alignment vertical="top" wrapText="1"/>
      <protection locked="0"/>
    </xf>
    <xf numFmtId="49" fontId="21" fillId="0" borderId="1" xfId="0" applyNumberFormat="1" applyFont="1" applyBorder="1" applyAlignment="1" applyProtection="1">
      <alignment horizontal="left" vertical="top" wrapText="1"/>
      <protection locked="0"/>
    </xf>
    <xf numFmtId="0" fontId="20" fillId="0" borderId="1" xfId="0" applyFont="1" applyBorder="1" applyAlignment="1">
      <alignment vertical="top"/>
    </xf>
    <xf numFmtId="0" fontId="21" fillId="0" borderId="1" xfId="0" applyFont="1" applyBorder="1" applyAlignment="1" applyProtection="1">
      <alignment horizontal="left" vertical="top" wrapText="1"/>
      <protection locked="0"/>
    </xf>
    <xf numFmtId="0" fontId="20" fillId="0" borderId="1" xfId="0" applyFont="1" applyBorder="1" applyAlignment="1" applyProtection="1">
      <alignment horizontal="left" vertical="top" wrapText="1"/>
      <protection locked="0"/>
    </xf>
    <xf numFmtId="49" fontId="20" fillId="0" borderId="0" xfId="0" applyNumberFormat="1" applyFont="1" applyAlignment="1" applyProtection="1">
      <alignment vertical="top"/>
      <protection locked="0"/>
    </xf>
    <xf numFmtId="0" fontId="20" fillId="0" borderId="0" xfId="0" applyFont="1" applyAlignment="1">
      <alignment horizontal="center"/>
    </xf>
    <xf numFmtId="0" fontId="20" fillId="0" borderId="0" xfId="0" applyFont="1" applyProtection="1">
      <protection locked="0"/>
    </xf>
    <xf numFmtId="0" fontId="21" fillId="0" borderId="0" xfId="0" applyFont="1" applyAlignment="1" applyProtection="1">
      <alignment horizontal="left" wrapText="1"/>
      <protection locked="0"/>
    </xf>
    <xf numFmtId="0" fontId="20" fillId="0" borderId="0" xfId="0" applyFont="1" applyAlignment="1" applyProtection="1">
      <alignment horizontal="center" vertical="top"/>
      <protection locked="0"/>
    </xf>
    <xf numFmtId="0" fontId="20" fillId="0" borderId="0" xfId="0" applyFont="1" applyAlignment="1" applyProtection="1">
      <alignment horizontal="center" vertical="top" wrapText="1"/>
      <protection locked="0"/>
    </xf>
    <xf numFmtId="0" fontId="21" fillId="0" borderId="0" xfId="0" applyFont="1" applyAlignment="1" applyProtection="1">
      <alignment horizontal="center" vertical="top" wrapText="1"/>
      <protection locked="0"/>
    </xf>
    <xf numFmtId="0" fontId="20" fillId="0" borderId="0" xfId="0" applyFont="1" applyAlignment="1" applyProtection="1">
      <alignment horizontal="left" vertical="top" wrapText="1"/>
      <protection locked="0"/>
    </xf>
    <xf numFmtId="0" fontId="22" fillId="0" borderId="0" xfId="0" applyFont="1" applyAlignment="1" applyProtection="1">
      <alignment vertical="top" wrapText="1"/>
      <protection locked="0"/>
    </xf>
    <xf numFmtId="49" fontId="23" fillId="0" borderId="0" xfId="1" applyNumberFormat="1" applyFont="1" applyFill="1" applyBorder="1" applyAlignment="1" applyProtection="1">
      <alignment vertical="top" wrapText="1"/>
      <protection locked="0"/>
    </xf>
    <xf numFmtId="0" fontId="20" fillId="0" borderId="0" xfId="0" applyFont="1" applyAlignment="1" applyProtection="1">
      <alignment horizontal="center"/>
      <protection locked="0"/>
    </xf>
    <xf numFmtId="0" fontId="21" fillId="0" borderId="0" xfId="0" applyFont="1" applyAlignment="1" applyProtection="1">
      <alignment horizontal="left" vertical="top" wrapText="1"/>
      <protection locked="0"/>
    </xf>
    <xf numFmtId="49" fontId="2" fillId="0" borderId="0" xfId="0" applyNumberFormat="1" applyFont="1" applyAlignment="1" applyProtection="1">
      <alignment vertical="top" wrapText="1"/>
      <protection locked="0"/>
    </xf>
    <xf numFmtId="0" fontId="23" fillId="0" borderId="0" xfId="1" applyFont="1" applyFill="1" applyBorder="1" applyAlignment="1" applyProtection="1">
      <alignment vertical="top" wrapText="1"/>
      <protection locked="0"/>
    </xf>
    <xf numFmtId="49" fontId="21" fillId="0" borderId="0" xfId="0" applyNumberFormat="1" applyFont="1" applyAlignment="1" applyProtection="1">
      <alignment vertical="top" wrapText="1"/>
      <protection locked="0"/>
    </xf>
    <xf numFmtId="49" fontId="22" fillId="0" borderId="0" xfId="1" applyNumberFormat="1" applyFont="1" applyFill="1" applyBorder="1" applyAlignment="1" applyProtection="1">
      <alignment vertical="top" wrapText="1"/>
      <protection locked="0"/>
    </xf>
    <xf numFmtId="0" fontId="24" fillId="0" borderId="0" xfId="0" applyFont="1" applyAlignment="1" applyProtection="1">
      <alignment horizontal="left" vertical="top" wrapText="1"/>
      <protection locked="0"/>
    </xf>
    <xf numFmtId="0" fontId="20" fillId="0" borderId="1" xfId="0" applyFont="1" applyBorder="1" applyAlignment="1">
      <alignment horizontal="center" vertical="top" wrapText="1"/>
    </xf>
    <xf numFmtId="0" fontId="16" fillId="2" borderId="1" xfId="0" applyFont="1" applyFill="1" applyBorder="1" applyAlignment="1">
      <alignment horizontal="center"/>
    </xf>
    <xf numFmtId="0" fontId="16" fillId="2" borderId="1" xfId="0" applyFont="1" applyFill="1" applyBorder="1" applyAlignment="1">
      <alignment horizontal="center" wrapText="1"/>
    </xf>
    <xf numFmtId="164" fontId="20" fillId="0" borderId="0" xfId="0" applyNumberFormat="1" applyFont="1" applyAlignment="1">
      <alignment horizontal="left"/>
    </xf>
    <xf numFmtId="0" fontId="20" fillId="0" borderId="0" xfId="0" applyFont="1" applyAlignment="1">
      <alignment wrapText="1"/>
    </xf>
    <xf numFmtId="14" fontId="0" fillId="0" borderId="0" xfId="0" applyNumberFormat="1"/>
    <xf numFmtId="0" fontId="20" fillId="0" borderId="1" xfId="0" applyFont="1" applyBorder="1" applyAlignment="1">
      <alignment horizontal="center"/>
    </xf>
    <xf numFmtId="0" fontId="20" fillId="0" borderId="0" xfId="0" applyFont="1" applyAlignment="1">
      <alignment horizontal="left" vertical="top"/>
    </xf>
    <xf numFmtId="0" fontId="20" fillId="0" borderId="0" xfId="0" applyFont="1" applyAlignment="1">
      <alignment horizontal="center" vertical="top"/>
    </xf>
    <xf numFmtId="0" fontId="21" fillId="0" borderId="0" xfId="0" applyFont="1" applyAlignment="1">
      <alignment horizontal="center" vertical="top" wrapText="1"/>
    </xf>
    <xf numFmtId="0" fontId="20" fillId="0" borderId="0" xfId="0" applyFont="1" applyAlignment="1">
      <alignment horizontal="left" vertical="top" wrapText="1"/>
    </xf>
    <xf numFmtId="0" fontId="25" fillId="3" borderId="0" xfId="0" applyFont="1" applyFill="1" applyAlignment="1">
      <alignment horizontal="left" wrapText="1"/>
    </xf>
    <xf numFmtId="0" fontId="0" fillId="3" borderId="0" xfId="0" applyFill="1" applyAlignment="1">
      <alignment horizontal="left"/>
    </xf>
    <xf numFmtId="0" fontId="0" fillId="0" borderId="0" xfId="0" applyAlignment="1">
      <alignment horizontal="left"/>
    </xf>
    <xf numFmtId="0" fontId="25" fillId="0" borderId="0" xfId="0" applyFont="1" applyAlignment="1">
      <alignment horizontal="left"/>
    </xf>
    <xf numFmtId="14" fontId="19" fillId="0" borderId="0" xfId="0" applyNumberFormat="1" applyFont="1" applyAlignment="1">
      <alignment horizontal="left"/>
    </xf>
    <xf numFmtId="0" fontId="26" fillId="0" borderId="0" xfId="0" applyFont="1"/>
    <xf numFmtId="14" fontId="26" fillId="0" borderId="0" xfId="0" applyNumberFormat="1" applyFont="1" applyAlignment="1">
      <alignment horizontal="left"/>
    </xf>
    <xf numFmtId="0" fontId="27" fillId="0" borderId="0" xfId="0" applyFont="1"/>
    <xf numFmtId="0" fontId="20" fillId="0" borderId="1" xfId="0" applyFont="1" applyBorder="1" applyAlignment="1">
      <alignment vertical="top" wrapText="1"/>
    </xf>
    <xf numFmtId="0" fontId="0" fillId="0" borderId="13" xfId="0" applyBorder="1" applyAlignment="1">
      <alignment horizontal="left"/>
    </xf>
    <xf numFmtId="0" fontId="1" fillId="4" borderId="2" xfId="0" applyFont="1" applyFill="1" applyBorder="1" applyAlignment="1">
      <alignment horizontal="center" vertical="center" wrapText="1"/>
    </xf>
    <xf numFmtId="0" fontId="28" fillId="0" borderId="0" xfId="0" applyFont="1"/>
    <xf numFmtId="49" fontId="19" fillId="0" borderId="0" xfId="0" applyNumberFormat="1" applyFont="1" applyAlignment="1">
      <alignment horizontal="left"/>
    </xf>
    <xf numFmtId="0" fontId="20" fillId="0" borderId="1" xfId="0" applyFont="1" applyBorder="1" applyAlignment="1">
      <alignment horizontal="left"/>
    </xf>
    <xf numFmtId="0" fontId="20" fillId="0" borderId="0" xfId="0" applyFont="1" applyAlignment="1">
      <alignment horizontal="left"/>
    </xf>
    <xf numFmtId="0" fontId="27" fillId="0" borderId="1" xfId="0" applyFont="1" applyBorder="1"/>
    <xf numFmtId="0" fontId="18" fillId="0" borderId="1" xfId="0" applyFont="1" applyBorder="1"/>
    <xf numFmtId="0" fontId="21" fillId="0" borderId="1" xfId="0" applyFont="1" applyBorder="1" applyAlignment="1">
      <alignment horizontal="left"/>
    </xf>
    <xf numFmtId="0" fontId="1" fillId="4" borderId="1" xfId="0" applyFont="1" applyFill="1" applyBorder="1" applyAlignment="1">
      <alignment horizontal="center" vertical="center" wrapText="1"/>
    </xf>
    <xf numFmtId="0" fontId="1" fillId="4" borderId="2" xfId="0" applyFont="1" applyFill="1" applyBorder="1" applyAlignment="1" applyProtection="1">
      <alignment horizontal="center" vertical="center" wrapText="1"/>
      <protection locked="0"/>
    </xf>
    <xf numFmtId="49" fontId="1" fillId="4" borderId="2" xfId="0" applyNumberFormat="1" applyFont="1" applyFill="1" applyBorder="1" applyAlignment="1" applyProtection="1">
      <alignment horizontal="center" vertical="center" wrapText="1"/>
      <protection locked="0"/>
    </xf>
    <xf numFmtId="0" fontId="2" fillId="0" borderId="0" xfId="0" applyFont="1" applyAlignment="1">
      <alignment horizontal="center" vertical="center" wrapText="1"/>
    </xf>
    <xf numFmtId="0" fontId="30" fillId="4" borderId="2" xfId="0" applyFont="1" applyFill="1" applyBorder="1" applyAlignment="1">
      <alignment horizontal="center" vertical="center" wrapText="1"/>
    </xf>
    <xf numFmtId="0" fontId="20" fillId="0" borderId="0" xfId="0" applyFont="1" applyAlignment="1" applyProtection="1">
      <alignment horizontal="center" vertical="center"/>
      <protection locked="0"/>
    </xf>
    <xf numFmtId="0" fontId="31" fillId="0" borderId="0" xfId="0" applyFont="1" applyAlignment="1">
      <alignment horizontal="left" wrapText="1"/>
    </xf>
    <xf numFmtId="0" fontId="0" fillId="0" borderId="0" xfId="0" applyAlignment="1">
      <alignment wrapText="1"/>
    </xf>
    <xf numFmtId="0" fontId="20" fillId="0" borderId="0" xfId="0" applyFont="1" applyAlignment="1">
      <alignment horizontal="left" wrapText="1"/>
    </xf>
    <xf numFmtId="0" fontId="20" fillId="0" borderId="1" xfId="0" applyFont="1" applyBorder="1" applyAlignment="1" applyProtection="1">
      <alignment horizontal="center"/>
      <protection locked="0"/>
    </xf>
    <xf numFmtId="0" fontId="21" fillId="0" borderId="1" xfId="0" applyFont="1" applyBorder="1" applyAlignment="1" applyProtection="1">
      <alignment horizontal="center" vertical="top" wrapText="1"/>
      <protection locked="0"/>
    </xf>
    <xf numFmtId="0" fontId="22" fillId="0" borderId="1" xfId="0" applyFont="1" applyBorder="1" applyAlignment="1" applyProtection="1">
      <alignment vertical="top" wrapText="1"/>
      <protection locked="0"/>
    </xf>
    <xf numFmtId="49" fontId="2" fillId="0" borderId="1" xfId="0" applyNumberFormat="1" applyFont="1" applyBorder="1" applyAlignment="1" applyProtection="1">
      <alignment vertical="top" wrapText="1"/>
      <protection locked="0"/>
    </xf>
    <xf numFmtId="0" fontId="20" fillId="0" borderId="1" xfId="0" applyFont="1" applyBorder="1" applyAlignment="1" applyProtection="1">
      <alignment vertical="top" wrapText="1"/>
      <protection locked="0"/>
    </xf>
    <xf numFmtId="0" fontId="20" fillId="0" borderId="1" xfId="0" applyFont="1" applyBorder="1" applyAlignment="1" applyProtection="1">
      <alignment vertical="top"/>
      <protection locked="0"/>
    </xf>
    <xf numFmtId="49" fontId="20" fillId="0" borderId="1" xfId="0" applyNumberFormat="1" applyFont="1" applyBorder="1" applyAlignment="1" applyProtection="1">
      <alignment vertical="top" wrapText="1"/>
      <protection locked="0"/>
    </xf>
    <xf numFmtId="0" fontId="32" fillId="0" borderId="1" xfId="1" applyFont="1" applyFill="1" applyBorder="1" applyAlignment="1" applyProtection="1">
      <alignment vertical="top" wrapText="1"/>
      <protection locked="0"/>
    </xf>
    <xf numFmtId="0" fontId="20" fillId="0" borderId="1" xfId="0" applyFont="1" applyBorder="1" applyAlignment="1" applyProtection="1">
      <alignment horizontal="center" vertical="top"/>
      <protection locked="0"/>
    </xf>
    <xf numFmtId="0" fontId="33" fillId="0" borderId="0" xfId="0" applyFont="1"/>
    <xf numFmtId="0" fontId="34" fillId="0" borderId="1" xfId="0" applyFont="1" applyBorder="1" applyAlignment="1">
      <alignment horizontal="center" vertical="top" wrapText="1"/>
    </xf>
    <xf numFmtId="0" fontId="21" fillId="0" borderId="1" xfId="0" applyFont="1" applyBorder="1" applyAlignment="1">
      <alignment horizontal="center" vertical="top" wrapText="1"/>
    </xf>
    <xf numFmtId="0" fontId="21" fillId="0" borderId="1" xfId="0" applyFont="1" applyBorder="1" applyAlignment="1">
      <alignment horizontal="center" vertical="top"/>
    </xf>
    <xf numFmtId="0" fontId="29" fillId="0" borderId="1" xfId="0" applyFont="1" applyBorder="1" applyAlignment="1">
      <alignment vertical="top" wrapText="1"/>
    </xf>
    <xf numFmtId="0" fontId="21" fillId="0" borderId="0" xfId="0" applyFont="1"/>
    <xf numFmtId="49" fontId="20" fillId="5" borderId="1" xfId="0" applyNumberFormat="1" applyFont="1" applyFill="1" applyBorder="1" applyAlignment="1">
      <alignment horizontal="left" vertical="top" wrapText="1"/>
    </xf>
    <xf numFmtId="0" fontId="20" fillId="0" borderId="1" xfId="0" applyFont="1" applyBorder="1" applyAlignment="1">
      <alignment horizontal="center" vertical="center"/>
    </xf>
    <xf numFmtId="0" fontId="20" fillId="0" borderId="1" xfId="0" applyFont="1" applyBorder="1" applyAlignment="1" applyProtection="1">
      <alignment horizontal="center" vertical="center" wrapText="1"/>
      <protection locked="0"/>
    </xf>
    <xf numFmtId="0" fontId="20" fillId="0" borderId="1" xfId="0" applyFont="1" applyBorder="1" applyAlignment="1" applyProtection="1">
      <alignment horizontal="center" vertical="center"/>
      <protection locked="0"/>
    </xf>
    <xf numFmtId="0" fontId="20" fillId="0" borderId="0" xfId="0" applyFont="1" applyAlignment="1">
      <alignment horizontal="center" vertical="center"/>
    </xf>
    <xf numFmtId="0" fontId="22" fillId="0" borderId="1" xfId="0" applyFont="1" applyBorder="1" applyAlignment="1">
      <alignment vertical="top" wrapText="1"/>
    </xf>
    <xf numFmtId="0" fontId="2" fillId="0" borderId="1" xfId="0" applyFont="1" applyBorder="1" applyAlignment="1">
      <alignment vertical="top" wrapText="1"/>
    </xf>
    <xf numFmtId="0" fontId="34" fillId="5" borderId="1" xfId="0" applyFont="1" applyFill="1" applyBorder="1" applyAlignment="1">
      <alignment horizontal="center" vertical="top" wrapText="1"/>
    </xf>
    <xf numFmtId="0" fontId="21" fillId="5" borderId="1" xfId="0" applyFont="1" applyFill="1" applyBorder="1" applyAlignment="1" applyProtection="1">
      <alignment horizontal="center" vertical="top" wrapText="1"/>
      <protection locked="0"/>
    </xf>
    <xf numFmtId="0" fontId="22" fillId="5" borderId="1" xfId="0" applyFont="1" applyFill="1" applyBorder="1" applyAlignment="1" applyProtection="1">
      <alignment vertical="top" wrapText="1"/>
      <protection locked="0"/>
    </xf>
    <xf numFmtId="49" fontId="2" fillId="5" borderId="1" xfId="0" applyNumberFormat="1" applyFont="1" applyFill="1" applyBorder="1" applyAlignment="1" applyProtection="1">
      <alignment vertical="top" wrapText="1"/>
      <protection locked="0"/>
    </xf>
    <xf numFmtId="0" fontId="21" fillId="5" borderId="1" xfId="0" applyFont="1" applyFill="1" applyBorder="1" applyAlignment="1" applyProtection="1">
      <alignment horizontal="left" vertical="top" wrapText="1"/>
      <protection locked="0"/>
    </xf>
    <xf numFmtId="0" fontId="20" fillId="5" borderId="1" xfId="0" applyFont="1" applyFill="1" applyBorder="1" applyProtection="1">
      <protection locked="0"/>
    </xf>
    <xf numFmtId="0" fontId="20" fillId="5" borderId="1" xfId="0" applyFont="1" applyFill="1" applyBorder="1" applyAlignment="1" applyProtection="1">
      <alignment horizontal="center" vertical="center"/>
      <protection locked="0"/>
    </xf>
    <xf numFmtId="0" fontId="20" fillId="5" borderId="1" xfId="0" applyFont="1" applyFill="1" applyBorder="1" applyAlignment="1" applyProtection="1">
      <alignment vertical="top" wrapText="1"/>
      <protection locked="0"/>
    </xf>
    <xf numFmtId="0" fontId="20" fillId="5" borderId="1" xfId="0" applyFont="1" applyFill="1" applyBorder="1" applyAlignment="1" applyProtection="1">
      <alignment vertical="top"/>
      <protection locked="0"/>
    </xf>
    <xf numFmtId="0" fontId="20" fillId="5" borderId="1" xfId="0" applyFont="1" applyFill="1" applyBorder="1" applyAlignment="1" applyProtection="1">
      <alignment horizontal="center"/>
      <protection locked="0"/>
    </xf>
    <xf numFmtId="0" fontId="20" fillId="5" borderId="1" xfId="0" applyFont="1" applyFill="1" applyBorder="1" applyAlignment="1">
      <alignment vertical="top"/>
    </xf>
    <xf numFmtId="0" fontId="20" fillId="5" borderId="1" xfId="0" applyFont="1" applyFill="1" applyBorder="1" applyAlignment="1">
      <alignment horizontal="center" vertical="top" wrapText="1"/>
    </xf>
    <xf numFmtId="0" fontId="21" fillId="5" borderId="1" xfId="0" applyFont="1" applyFill="1" applyBorder="1" applyAlignment="1">
      <alignment horizontal="center" vertical="top" wrapText="1"/>
    </xf>
    <xf numFmtId="0" fontId="20" fillId="5" borderId="1" xfId="0" applyFont="1" applyFill="1" applyBorder="1" applyAlignment="1">
      <alignment vertical="top" wrapText="1"/>
    </xf>
    <xf numFmtId="0" fontId="2" fillId="5" borderId="1" xfId="0" applyFont="1" applyFill="1" applyBorder="1" applyAlignment="1">
      <alignment vertical="top" wrapText="1"/>
    </xf>
    <xf numFmtId="0" fontId="20" fillId="5" borderId="1" xfId="0" applyFont="1" applyFill="1" applyBorder="1" applyAlignment="1" applyProtection="1">
      <alignment horizontal="left" vertical="top" wrapText="1"/>
      <protection locked="0"/>
    </xf>
    <xf numFmtId="0" fontId="20" fillId="5" borderId="1" xfId="0" applyFont="1" applyFill="1" applyBorder="1" applyAlignment="1">
      <alignment horizontal="center" vertical="center"/>
    </xf>
    <xf numFmtId="0" fontId="22" fillId="5" borderId="1" xfId="0" applyFont="1" applyFill="1" applyBorder="1" applyAlignment="1">
      <alignment vertical="top" wrapText="1"/>
    </xf>
    <xf numFmtId="0" fontId="20" fillId="5" borderId="1" xfId="0" applyFont="1" applyFill="1" applyBorder="1" applyAlignment="1" applyProtection="1">
      <alignment horizontal="center" vertical="center" wrapText="1"/>
      <protection locked="0"/>
    </xf>
    <xf numFmtId="0" fontId="29" fillId="5" borderId="1" xfId="0" applyFont="1" applyFill="1" applyBorder="1" applyAlignment="1">
      <alignment vertical="top" wrapText="1"/>
    </xf>
    <xf numFmtId="0" fontId="2" fillId="5" borderId="1" xfId="0" applyFont="1" applyFill="1" applyBorder="1" applyAlignment="1" applyProtection="1">
      <alignment vertical="top" wrapText="1"/>
      <protection locked="0"/>
    </xf>
    <xf numFmtId="0" fontId="20" fillId="5" borderId="1" xfId="0" applyFont="1" applyFill="1" applyBorder="1" applyAlignment="1">
      <alignment wrapText="1"/>
    </xf>
    <xf numFmtId="0" fontId="35" fillId="0" borderId="1" xfId="0" applyFont="1" applyBorder="1" applyAlignment="1" applyProtection="1">
      <alignment vertical="top" wrapText="1"/>
      <protection locked="0"/>
    </xf>
    <xf numFmtId="0" fontId="2" fillId="0" borderId="1" xfId="1" applyFont="1" applyFill="1" applyBorder="1" applyAlignment="1" applyProtection="1">
      <alignment vertical="top" wrapText="1"/>
      <protection locked="0"/>
    </xf>
    <xf numFmtId="0" fontId="17" fillId="0" borderId="0" xfId="0" applyFont="1"/>
    <xf numFmtId="49" fontId="21" fillId="5" borderId="1" xfId="0" applyNumberFormat="1" applyFont="1" applyFill="1" applyBorder="1" applyAlignment="1" applyProtection="1">
      <alignment vertical="top" wrapText="1"/>
      <protection locked="0"/>
    </xf>
    <xf numFmtId="0" fontId="30" fillId="4" borderId="2" xfId="0" applyFont="1" applyFill="1" applyBorder="1" applyAlignment="1" applyProtection="1">
      <alignment horizontal="center" vertical="center" wrapText="1"/>
      <protection locked="0"/>
    </xf>
    <xf numFmtId="0" fontId="21" fillId="5" borderId="1" xfId="0" applyFont="1" applyFill="1" applyBorder="1" applyAlignment="1">
      <alignment vertical="top" wrapText="1"/>
    </xf>
    <xf numFmtId="0" fontId="20" fillId="0" borderId="1" xfId="0" applyFont="1" applyBorder="1" applyAlignment="1">
      <alignment horizontal="left" vertical="top" wrapText="1"/>
    </xf>
    <xf numFmtId="0" fontId="35" fillId="0" borderId="1" xfId="0" applyFont="1" applyBorder="1" applyAlignment="1">
      <alignment vertical="top" wrapText="1"/>
    </xf>
    <xf numFmtId="0" fontId="20" fillId="5" borderId="1" xfId="0" applyFont="1" applyFill="1" applyBorder="1" applyAlignment="1" applyProtection="1">
      <alignment horizontal="left" vertical="top"/>
      <protection locked="0"/>
    </xf>
    <xf numFmtId="0" fontId="20" fillId="0" borderId="1" xfId="0" applyFont="1" applyBorder="1" applyAlignment="1">
      <alignment horizontal="center" wrapText="1"/>
    </xf>
    <xf numFmtId="0" fontId="24" fillId="0" borderId="1" xfId="0" applyFont="1" applyBorder="1" applyAlignment="1" applyProtection="1">
      <alignment horizontal="left" vertical="top" wrapText="1"/>
      <protection locked="0"/>
    </xf>
    <xf numFmtId="0" fontId="20" fillId="0" borderId="1" xfId="0" applyFont="1" applyBorder="1" applyAlignment="1">
      <alignment horizontal="center" vertical="top"/>
    </xf>
    <xf numFmtId="0" fontId="2" fillId="4" borderId="2" xfId="0" applyFont="1" applyFill="1" applyBorder="1" applyAlignment="1">
      <alignment horizontal="center" vertical="center" wrapText="1"/>
    </xf>
    <xf numFmtId="0" fontId="2" fillId="4" borderId="2" xfId="0" applyFont="1" applyFill="1" applyBorder="1" applyAlignment="1">
      <alignment horizontal="center" vertical="top" wrapText="1"/>
    </xf>
    <xf numFmtId="0" fontId="2" fillId="4" borderId="2" xfId="0" applyFont="1" applyFill="1" applyBorder="1" applyAlignment="1">
      <alignment horizontal="left" vertical="top" wrapText="1"/>
    </xf>
    <xf numFmtId="49" fontId="2" fillId="4" borderId="2" xfId="0" applyNumberFormat="1" applyFont="1" applyFill="1" applyBorder="1" applyAlignment="1" applyProtection="1">
      <alignment horizontal="left" vertical="top" wrapText="1"/>
      <protection locked="0"/>
    </xf>
    <xf numFmtId="0" fontId="2" fillId="4" borderId="2" xfId="0" applyFont="1" applyFill="1" applyBorder="1" applyAlignment="1" applyProtection="1">
      <alignment horizontal="center" vertical="top" wrapText="1"/>
      <protection locked="0"/>
    </xf>
    <xf numFmtId="0" fontId="1" fillId="4" borderId="2" xfId="0" applyFont="1" applyFill="1" applyBorder="1" applyAlignment="1">
      <alignment horizontal="left" vertical="top" wrapText="1"/>
    </xf>
    <xf numFmtId="0" fontId="2" fillId="4" borderId="2" xfId="0" applyFont="1" applyFill="1" applyBorder="1" applyAlignment="1" applyProtection="1">
      <alignment horizontal="left" vertical="top" wrapText="1"/>
      <protection locked="0"/>
    </xf>
    <xf numFmtId="0" fontId="36" fillId="4" borderId="2" xfId="0" applyFont="1" applyFill="1" applyBorder="1" applyAlignment="1">
      <alignment horizontal="left" vertical="top" wrapText="1"/>
    </xf>
    <xf numFmtId="0" fontId="36" fillId="4" borderId="2" xfId="0" applyFont="1" applyFill="1" applyBorder="1" applyAlignment="1" applyProtection="1">
      <alignment horizontal="left" vertical="top" wrapText="1"/>
      <protection locked="0"/>
    </xf>
    <xf numFmtId="0" fontId="2" fillId="0" borderId="0" xfId="0" applyFont="1" applyAlignment="1">
      <alignment horizontal="left" vertical="top" wrapText="1"/>
    </xf>
    <xf numFmtId="0" fontId="1" fillId="3" borderId="1" xfId="0" applyFont="1" applyFill="1" applyBorder="1" applyAlignment="1">
      <alignment horizontal="center" vertical="top" wrapText="1"/>
    </xf>
    <xf numFmtId="0" fontId="20" fillId="3" borderId="1" xfId="0" applyFont="1" applyFill="1" applyBorder="1" applyAlignment="1">
      <alignment vertical="top" wrapText="1"/>
    </xf>
    <xf numFmtId="49" fontId="21" fillId="5" borderId="1" xfId="0" applyNumberFormat="1" applyFont="1" applyFill="1" applyBorder="1" applyAlignment="1" applyProtection="1">
      <alignment horizontal="left" vertical="top" wrapText="1"/>
      <protection locked="0"/>
    </xf>
    <xf numFmtId="0" fontId="35" fillId="5" borderId="1" xfId="0" applyFont="1" applyFill="1" applyBorder="1" applyAlignment="1">
      <alignment horizontal="center" vertical="top" wrapText="1"/>
    </xf>
    <xf numFmtId="0" fontId="20" fillId="5" borderId="1" xfId="0" applyFont="1" applyFill="1" applyBorder="1" applyAlignment="1">
      <alignment horizontal="left" vertical="center" wrapText="1"/>
    </xf>
    <xf numFmtId="49" fontId="23" fillId="5" borderId="1" xfId="1" applyNumberFormat="1" applyFont="1" applyFill="1" applyBorder="1" applyAlignment="1" applyProtection="1">
      <alignment vertical="top" wrapText="1"/>
      <protection locked="0"/>
    </xf>
    <xf numFmtId="0" fontId="23" fillId="5" borderId="1" xfId="1" applyFont="1" applyFill="1" applyBorder="1" applyAlignment="1" applyProtection="1">
      <alignment vertical="top" wrapText="1"/>
      <protection locked="0"/>
    </xf>
    <xf numFmtId="0" fontId="2" fillId="0" borderId="1" xfId="0" applyFont="1" applyBorder="1" applyAlignment="1" applyProtection="1">
      <alignment horizontal="left" vertical="top" wrapText="1"/>
      <protection locked="0"/>
    </xf>
    <xf numFmtId="0" fontId="2" fillId="0" borderId="1" xfId="0" applyFont="1" applyBorder="1" applyAlignment="1" applyProtection="1">
      <alignment horizontal="center" vertical="top"/>
      <protection locked="0"/>
    </xf>
    <xf numFmtId="49" fontId="20" fillId="6" borderId="1" xfId="0" applyNumberFormat="1" applyFont="1" applyFill="1" applyBorder="1" applyAlignment="1">
      <alignment horizontal="left" vertical="top" wrapText="1"/>
    </xf>
    <xf numFmtId="0" fontId="2" fillId="5" borderId="1" xfId="0" applyFont="1" applyFill="1" applyBorder="1" applyAlignment="1">
      <alignment horizontal="center" vertical="top" wrapText="1"/>
    </xf>
    <xf numFmtId="0" fontId="1" fillId="7" borderId="3"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2" fillId="0" borderId="1" xfId="1" applyNumberFormat="1" applyFont="1" applyFill="1" applyBorder="1" applyAlignment="1" applyProtection="1">
      <alignment horizontal="left" vertical="top" wrapText="1"/>
      <protection locked="0"/>
    </xf>
    <xf numFmtId="0" fontId="20" fillId="0" borderId="4" xfId="0" applyFont="1" applyBorder="1" applyAlignment="1">
      <alignment vertical="top" wrapText="1"/>
    </xf>
    <xf numFmtId="0" fontId="20" fillId="8" borderId="4" xfId="0" applyFont="1" applyFill="1" applyBorder="1" applyAlignment="1">
      <alignment vertical="top" wrapText="1"/>
    </xf>
    <xf numFmtId="0" fontId="20" fillId="5" borderId="4" xfId="0" applyFont="1" applyFill="1" applyBorder="1" applyAlignment="1">
      <alignment vertical="top" wrapText="1"/>
    </xf>
    <xf numFmtId="0" fontId="20" fillId="0" borderId="14" xfId="0" applyFont="1" applyBorder="1" applyAlignment="1">
      <alignment vertical="top" wrapText="1"/>
    </xf>
    <xf numFmtId="0" fontId="20" fillId="6" borderId="1" xfId="0" applyFont="1" applyFill="1" applyBorder="1" applyAlignment="1" applyProtection="1">
      <alignment vertical="top" wrapText="1"/>
      <protection locked="0"/>
    </xf>
    <xf numFmtId="0" fontId="2" fillId="6" borderId="1" xfId="0" applyFont="1" applyFill="1" applyBorder="1" applyAlignment="1" applyProtection="1">
      <alignment vertical="top" wrapText="1"/>
      <protection locked="0"/>
    </xf>
    <xf numFmtId="0" fontId="37" fillId="0" borderId="0" xfId="0" applyFont="1" applyAlignment="1">
      <alignment horizontal="left" indent="5"/>
    </xf>
    <xf numFmtId="0" fontId="2" fillId="4" borderId="1" xfId="0" applyFont="1" applyFill="1" applyBorder="1" applyAlignment="1">
      <alignment horizontal="right" wrapText="1"/>
    </xf>
    <xf numFmtId="0" fontId="20" fillId="8" borderId="15" xfId="0" applyFont="1" applyFill="1" applyBorder="1" applyAlignment="1">
      <alignment vertical="top" wrapText="1"/>
    </xf>
    <xf numFmtId="0" fontId="20" fillId="0" borderId="16" xfId="0" applyFont="1" applyBorder="1" applyAlignment="1">
      <alignment vertical="top" wrapText="1"/>
    </xf>
    <xf numFmtId="0" fontId="20" fillId="5" borderId="16" xfId="0" applyFont="1" applyFill="1" applyBorder="1" applyAlignment="1">
      <alignment vertical="top" wrapText="1"/>
    </xf>
    <xf numFmtId="0" fontId="20" fillId="0" borderId="5" xfId="0" applyFont="1" applyBorder="1" applyAlignment="1" applyProtection="1">
      <alignment vertical="top" wrapText="1"/>
      <protection locked="0"/>
    </xf>
    <xf numFmtId="0" fontId="23" fillId="0" borderId="5" xfId="1" applyFont="1" applyFill="1" applyBorder="1" applyAlignment="1" applyProtection="1">
      <alignment vertical="top" wrapText="1"/>
      <protection locked="0"/>
    </xf>
    <xf numFmtId="0" fontId="20" fillId="0" borderId="5" xfId="0" applyFont="1" applyBorder="1"/>
    <xf numFmtId="0" fontId="20" fillId="0" borderId="5" xfId="0" applyFont="1" applyBorder="1" applyAlignment="1">
      <alignment vertical="top" wrapText="1"/>
    </xf>
    <xf numFmtId="0" fontId="20" fillId="0" borderId="17" xfId="0" applyFont="1" applyBorder="1" applyAlignment="1">
      <alignment vertical="top" wrapText="1"/>
    </xf>
    <xf numFmtId="0" fontId="38" fillId="0" borderId="1" xfId="0" applyFont="1" applyBorder="1" applyAlignment="1">
      <alignment horizontal="center" vertical="top" wrapText="1"/>
    </xf>
    <xf numFmtId="0" fontId="38" fillId="0" borderId="1" xfId="0" applyFont="1" applyBorder="1" applyAlignment="1">
      <alignment vertical="top" wrapText="1"/>
    </xf>
    <xf numFmtId="0" fontId="2" fillId="0" borderId="1" xfId="0" applyFont="1" applyBorder="1" applyAlignment="1">
      <alignment horizontal="left" vertical="top" wrapText="1"/>
    </xf>
    <xf numFmtId="0" fontId="0" fillId="0" borderId="1" xfId="0" applyBorder="1"/>
    <xf numFmtId="0" fontId="38" fillId="0" borderId="1" xfId="0" applyFont="1" applyBorder="1" applyAlignment="1">
      <alignment wrapText="1"/>
    </xf>
    <xf numFmtId="0" fontId="39" fillId="0" borderId="0" xfId="0" applyFont="1" applyAlignment="1">
      <alignment horizontal="center" vertical="top" wrapText="1"/>
    </xf>
    <xf numFmtId="0" fontId="14" fillId="5" borderId="7" xfId="1" applyFill="1" applyBorder="1" applyAlignment="1" applyProtection="1">
      <alignment horizontal="center" wrapText="1"/>
    </xf>
    <xf numFmtId="0" fontId="20" fillId="5" borderId="1" xfId="0" applyFont="1" applyFill="1" applyBorder="1" applyAlignment="1" applyProtection="1">
      <alignment horizontal="center" vertical="top" wrapText="1"/>
      <protection locked="0"/>
    </xf>
    <xf numFmtId="0" fontId="20" fillId="5" borderId="1" xfId="0" applyFont="1" applyFill="1" applyBorder="1" applyAlignment="1">
      <alignment horizontal="center" vertical="top"/>
    </xf>
    <xf numFmtId="0" fontId="20" fillId="5" borderId="1" xfId="0" applyFont="1" applyFill="1" applyBorder="1" applyAlignment="1" applyProtection="1">
      <alignment horizontal="center" vertical="top"/>
      <protection locked="0"/>
    </xf>
    <xf numFmtId="0" fontId="20" fillId="0" borderId="1" xfId="0" applyFont="1" applyBorder="1" applyAlignment="1" applyProtection="1">
      <alignment horizontal="center" vertical="top" wrapText="1"/>
      <protection locked="0"/>
    </xf>
    <xf numFmtId="0" fontId="24" fillId="0" borderId="1" xfId="0" applyFont="1" applyBorder="1" applyAlignment="1" applyProtection="1">
      <alignment horizontal="center" vertical="top" wrapText="1"/>
      <protection locked="0"/>
    </xf>
    <xf numFmtId="0" fontId="35" fillId="5" borderId="1" xfId="0" applyFont="1" applyFill="1" applyBorder="1" applyAlignment="1" applyProtection="1">
      <alignment horizontal="center" vertical="top"/>
      <protection locked="0"/>
    </xf>
    <xf numFmtId="0" fontId="35" fillId="0" borderId="1" xfId="0" applyFont="1" applyBorder="1" applyAlignment="1" applyProtection="1">
      <alignment horizontal="center" vertical="top"/>
      <protection locked="0"/>
    </xf>
    <xf numFmtId="0" fontId="20" fillId="5"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36" fillId="5" borderId="1" xfId="0" applyFont="1" applyFill="1" applyBorder="1" applyAlignment="1">
      <alignment horizontal="center" wrapText="1"/>
    </xf>
    <xf numFmtId="0" fontId="20" fillId="5" borderId="1" xfId="0" applyFont="1" applyFill="1" applyBorder="1" applyAlignment="1">
      <alignment horizontal="center" wrapText="1"/>
    </xf>
    <xf numFmtId="0" fontId="38" fillId="0" borderId="9" xfId="0" applyFont="1" applyBorder="1" applyAlignment="1">
      <alignment vertical="top" wrapText="1"/>
    </xf>
    <xf numFmtId="0" fontId="38" fillId="0" borderId="9" xfId="0" applyFont="1" applyBorder="1" applyAlignment="1">
      <alignment horizontal="center" vertical="top" wrapText="1"/>
    </xf>
    <xf numFmtId="0" fontId="38" fillId="0" borderId="8" xfId="0" applyFont="1" applyBorder="1" applyAlignment="1">
      <alignment horizontal="center" vertical="top" wrapText="1"/>
    </xf>
    <xf numFmtId="0" fontId="38" fillId="0" borderId="9" xfId="0" applyFont="1" applyBorder="1" applyAlignment="1">
      <alignment horizontal="center" vertical="top"/>
    </xf>
    <xf numFmtId="0" fontId="16" fillId="0" borderId="0" xfId="0" applyFont="1"/>
    <xf numFmtId="0" fontId="29" fillId="0" borderId="0" xfId="0" applyFont="1"/>
    <xf numFmtId="0" fontId="1" fillId="7" borderId="2" xfId="0" applyFont="1" applyFill="1" applyBorder="1" applyAlignment="1">
      <alignment horizontal="center" vertical="center" wrapText="1"/>
    </xf>
    <xf numFmtId="0" fontId="20" fillId="11" borderId="1" xfId="0" applyFont="1" applyFill="1" applyBorder="1" applyAlignment="1" applyProtection="1">
      <alignment vertical="top" wrapText="1"/>
      <protection locked="0"/>
    </xf>
    <xf numFmtId="0" fontId="20" fillId="3" borderId="1" xfId="0" applyFont="1" applyFill="1" applyBorder="1" applyAlignment="1" applyProtection="1">
      <alignment vertical="top" wrapText="1"/>
      <protection locked="0"/>
    </xf>
    <xf numFmtId="0" fontId="2" fillId="11" borderId="1" xfId="0" applyFont="1" applyFill="1" applyBorder="1" applyAlignment="1" applyProtection="1">
      <alignment vertical="top" wrapText="1"/>
      <protection locked="0"/>
    </xf>
    <xf numFmtId="0" fontId="20" fillId="11" borderId="1" xfId="0" applyFont="1" applyFill="1" applyBorder="1" applyAlignment="1">
      <alignment vertical="top" wrapText="1"/>
    </xf>
    <xf numFmtId="0" fontId="22" fillId="4" borderId="2" xfId="0" applyFont="1" applyFill="1" applyBorder="1" applyAlignment="1">
      <alignment horizontal="left" vertical="top" wrapText="1"/>
    </xf>
    <xf numFmtId="0" fontId="22" fillId="0" borderId="1" xfId="0" applyFont="1" applyBorder="1" applyAlignment="1" applyProtection="1">
      <alignment horizontal="left" vertical="top"/>
      <protection locked="0"/>
    </xf>
    <xf numFmtId="0" fontId="22" fillId="0" borderId="1" xfId="0" applyFont="1" applyBorder="1" applyAlignment="1" applyProtection="1">
      <alignment horizontal="center"/>
      <protection locked="0"/>
    </xf>
    <xf numFmtId="0" fontId="22" fillId="0" borderId="1" xfId="0" applyFont="1" applyBorder="1" applyAlignment="1" applyProtection="1">
      <alignment horizontal="left" vertical="top" wrapText="1"/>
      <protection locked="0"/>
    </xf>
    <xf numFmtId="0" fontId="22" fillId="5" borderId="1" xfId="0" applyFont="1" applyFill="1" applyBorder="1" applyAlignment="1" applyProtection="1">
      <alignment horizontal="center"/>
      <protection locked="0"/>
    </xf>
    <xf numFmtId="0" fontId="20" fillId="0" borderId="6" xfId="0" applyFont="1" applyBorder="1" applyAlignment="1">
      <alignment horizontal="left" vertical="top" wrapText="1"/>
    </xf>
    <xf numFmtId="0" fontId="20" fillId="3" borderId="1" xfId="0" applyFont="1" applyFill="1" applyBorder="1" applyAlignment="1">
      <alignment vertical="top"/>
    </xf>
    <xf numFmtId="0" fontId="20" fillId="3" borderId="1" xfId="0" applyFont="1" applyFill="1" applyBorder="1" applyAlignment="1">
      <alignment horizontal="center" vertical="top" wrapText="1"/>
    </xf>
    <xf numFmtId="0" fontId="21" fillId="3" borderId="1" xfId="0" applyFont="1" applyFill="1" applyBorder="1" applyAlignment="1">
      <alignment horizontal="center" vertical="top" wrapText="1"/>
    </xf>
    <xf numFmtId="0" fontId="22" fillId="3" borderId="1" xfId="0" applyFont="1" applyFill="1" applyBorder="1" applyAlignment="1">
      <alignment vertical="top" wrapText="1"/>
    </xf>
    <xf numFmtId="49" fontId="20" fillId="3" borderId="1" xfId="0" applyNumberFormat="1" applyFont="1" applyFill="1" applyBorder="1" applyAlignment="1">
      <alignment horizontal="left" vertical="top" wrapText="1"/>
    </xf>
    <xf numFmtId="0" fontId="20" fillId="3" borderId="1" xfId="0" applyFont="1" applyFill="1" applyBorder="1" applyAlignment="1">
      <alignment horizontal="center" vertical="top"/>
    </xf>
    <xf numFmtId="0" fontId="35" fillId="3" borderId="1" xfId="0" applyFont="1" applyFill="1" applyBorder="1" applyAlignment="1" applyProtection="1">
      <alignment horizontal="center" vertical="center"/>
      <protection locked="0"/>
    </xf>
    <xf numFmtId="0" fontId="29" fillId="0" borderId="1" xfId="0" applyFont="1" applyBorder="1" applyAlignment="1">
      <alignment horizontal="left" vertical="top" wrapText="1"/>
    </xf>
    <xf numFmtId="0" fontId="29" fillId="0" borderId="1" xfId="0" applyFont="1" applyBorder="1" applyAlignment="1">
      <alignment wrapText="1"/>
    </xf>
    <xf numFmtId="0" fontId="29" fillId="0" borderId="9" xfId="0" applyFont="1" applyBorder="1" applyAlignment="1">
      <alignment wrapText="1"/>
    </xf>
    <xf numFmtId="0" fontId="0" fillId="10" borderId="0" xfId="0" applyFill="1"/>
    <xf numFmtId="0" fontId="40" fillId="0" borderId="0" xfId="0" applyFont="1"/>
    <xf numFmtId="0" fontId="42" fillId="0" borderId="0" xfId="0" applyFont="1"/>
    <xf numFmtId="0" fontId="43" fillId="0" borderId="0" xfId="0" applyFont="1"/>
    <xf numFmtId="0" fontId="44" fillId="0" borderId="0" xfId="0" applyFont="1"/>
    <xf numFmtId="0" fontId="29" fillId="0" borderId="1" xfId="0" applyFont="1" applyBorder="1" applyAlignment="1" applyProtection="1">
      <alignment vertical="top" wrapText="1"/>
      <protection locked="0"/>
    </xf>
    <xf numFmtId="0" fontId="20" fillId="0" borderId="20" xfId="0" applyFont="1" applyBorder="1" applyAlignment="1" applyProtection="1">
      <alignment horizontal="center" vertical="top"/>
      <protection locked="0"/>
    </xf>
    <xf numFmtId="0" fontId="21" fillId="0" borderId="20" xfId="0" applyFont="1" applyBorder="1" applyAlignment="1" applyProtection="1">
      <alignment horizontal="left" vertical="top" wrapText="1"/>
      <protection locked="0"/>
    </xf>
    <xf numFmtId="0" fontId="20" fillId="0" borderId="20" xfId="0" applyFont="1" applyBorder="1" applyProtection="1">
      <protection locked="0"/>
    </xf>
    <xf numFmtId="0" fontId="29" fillId="0" borderId="20" xfId="0" applyFont="1" applyBorder="1" applyAlignment="1" applyProtection="1">
      <alignment vertical="top" wrapText="1"/>
      <protection locked="0"/>
    </xf>
    <xf numFmtId="0" fontId="20" fillId="0" borderId="20" xfId="0" applyFont="1" applyBorder="1" applyAlignment="1" applyProtection="1">
      <alignment vertical="top" wrapText="1"/>
      <protection locked="0"/>
    </xf>
    <xf numFmtId="0" fontId="20" fillId="0" borderId="20" xfId="0" applyFont="1" applyBorder="1" applyAlignment="1" applyProtection="1">
      <alignment vertical="top"/>
      <protection locked="0"/>
    </xf>
    <xf numFmtId="0" fontId="20" fillId="0" borderId="20" xfId="0" applyFont="1" applyBorder="1" applyAlignment="1" applyProtection="1">
      <alignment horizontal="left" vertical="top" wrapText="1"/>
      <protection locked="0"/>
    </xf>
    <xf numFmtId="0" fontId="29" fillId="0" borderId="4" xfId="0" applyFont="1" applyBorder="1" applyAlignment="1" applyProtection="1">
      <alignment vertical="top" wrapText="1"/>
      <protection locked="0"/>
    </xf>
    <xf numFmtId="0" fontId="20" fillId="0" borderId="2" xfId="0" applyFont="1" applyBorder="1" applyAlignment="1">
      <alignment horizontal="center" vertical="top" wrapText="1"/>
    </xf>
    <xf numFmtId="0" fontId="20" fillId="0" borderId="2" xfId="0" applyFont="1" applyBorder="1" applyAlignment="1" applyProtection="1">
      <alignment horizontal="center" vertical="top"/>
      <protection locked="0"/>
    </xf>
    <xf numFmtId="0" fontId="24" fillId="0" borderId="2" xfId="0" applyFont="1" applyBorder="1" applyAlignment="1" applyProtection="1">
      <alignment horizontal="left" vertical="top" wrapText="1"/>
      <protection locked="0"/>
    </xf>
    <xf numFmtId="0" fontId="29" fillId="0" borderId="2" xfId="0" applyFont="1" applyBorder="1" applyAlignment="1" applyProtection="1">
      <alignment vertical="top" wrapText="1"/>
      <protection locked="0"/>
    </xf>
    <xf numFmtId="0" fontId="20" fillId="0" borderId="2" xfId="0" applyFont="1" applyBorder="1" applyAlignment="1" applyProtection="1">
      <alignment horizontal="left" vertical="top" wrapText="1"/>
      <protection locked="0"/>
    </xf>
    <xf numFmtId="0" fontId="20" fillId="0" borderId="2" xfId="0" applyFont="1" applyBorder="1" applyAlignment="1" applyProtection="1">
      <alignment vertical="top" wrapText="1"/>
      <protection locked="0"/>
    </xf>
    <xf numFmtId="0" fontId="20" fillId="0" borderId="19" xfId="0" applyFont="1" applyBorder="1" applyAlignment="1" applyProtection="1">
      <alignment horizontal="center" vertical="top"/>
      <protection locked="0"/>
    </xf>
    <xf numFmtId="0" fontId="21" fillId="0" borderId="19" xfId="0" applyFont="1" applyBorder="1" applyAlignment="1" applyProtection="1">
      <alignment horizontal="left" vertical="top" wrapText="1"/>
      <protection locked="0"/>
    </xf>
    <xf numFmtId="0" fontId="21" fillId="0" borderId="20" xfId="0" applyFont="1" applyBorder="1" applyAlignment="1" applyProtection="1">
      <alignment horizontal="center" vertical="top" wrapText="1"/>
      <protection locked="0"/>
    </xf>
    <xf numFmtId="0" fontId="22" fillId="0" borderId="6" xfId="0" applyFont="1" applyBorder="1" applyAlignment="1" applyProtection="1">
      <alignment vertical="top" wrapText="1"/>
      <protection locked="0"/>
    </xf>
    <xf numFmtId="0" fontId="2" fillId="0" borderId="2" xfId="0" applyFont="1" applyBorder="1" applyAlignment="1">
      <alignment horizontal="right" wrapText="1"/>
    </xf>
    <xf numFmtId="0" fontId="20" fillId="0" borderId="2" xfId="0" applyFont="1" applyBorder="1" applyAlignment="1" applyProtection="1">
      <alignment vertical="top"/>
      <protection locked="0"/>
    </xf>
    <xf numFmtId="0" fontId="21" fillId="0" borderId="2" xfId="0" applyFont="1" applyBorder="1" applyAlignment="1" applyProtection="1">
      <alignment horizontal="center" vertical="top" wrapText="1"/>
      <protection locked="0"/>
    </xf>
    <xf numFmtId="0" fontId="20" fillId="0" borderId="2" xfId="0" applyFont="1" applyBorder="1" applyAlignment="1">
      <alignment vertical="top" wrapText="1"/>
    </xf>
    <xf numFmtId="14" fontId="20" fillId="0" borderId="2" xfId="0" applyNumberFormat="1" applyFont="1" applyBorder="1" applyAlignment="1" applyProtection="1">
      <alignment vertical="top"/>
      <protection locked="0"/>
    </xf>
    <xf numFmtId="14" fontId="20" fillId="0" borderId="20" xfId="0" applyNumberFormat="1" applyFont="1" applyBorder="1" applyAlignment="1" applyProtection="1">
      <alignment vertical="top"/>
      <protection locked="0"/>
    </xf>
    <xf numFmtId="0" fontId="22" fillId="0" borderId="20" xfId="0" applyFont="1" applyBorder="1" applyAlignment="1" applyProtection="1">
      <alignment vertical="top" wrapText="1"/>
      <protection locked="0"/>
    </xf>
    <xf numFmtId="0" fontId="20" fillId="0" borderId="21" xfId="0" applyFont="1" applyBorder="1" applyProtection="1">
      <protection locked="0"/>
    </xf>
    <xf numFmtId="14" fontId="20" fillId="0" borderId="21" xfId="0" applyNumberFormat="1" applyFont="1" applyBorder="1" applyAlignment="1" applyProtection="1">
      <alignment horizontal="center"/>
      <protection locked="0"/>
    </xf>
    <xf numFmtId="0" fontId="20" fillId="0" borderId="21" xfId="0" applyFont="1" applyBorder="1" applyAlignment="1" applyProtection="1">
      <alignment horizontal="center"/>
      <protection locked="0"/>
    </xf>
    <xf numFmtId="0" fontId="20" fillId="0" borderId="21" xfId="0" applyFont="1" applyBorder="1" applyAlignment="1" applyProtection="1">
      <alignment horizontal="center" vertical="top"/>
      <protection locked="0"/>
    </xf>
    <xf numFmtId="0" fontId="21" fillId="0" borderId="21" xfId="0" applyFont="1" applyBorder="1" applyAlignment="1" applyProtection="1">
      <alignment horizontal="center" vertical="top" wrapText="1"/>
      <protection locked="0"/>
    </xf>
    <xf numFmtId="0" fontId="20" fillId="0" borderId="21" xfId="0" applyFont="1" applyBorder="1" applyAlignment="1" applyProtection="1">
      <alignment horizontal="left" vertical="top" wrapText="1"/>
      <protection locked="0"/>
    </xf>
    <xf numFmtId="0" fontId="20" fillId="0" borderId="21" xfId="0" applyFont="1" applyBorder="1" applyAlignment="1" applyProtection="1">
      <alignment vertical="top" wrapText="1"/>
      <protection locked="0"/>
    </xf>
    <xf numFmtId="0" fontId="22" fillId="0" borderId="3" xfId="0" applyFont="1" applyBorder="1" applyAlignment="1" applyProtection="1">
      <alignment vertical="top" wrapText="1"/>
      <protection locked="0"/>
    </xf>
    <xf numFmtId="0" fontId="29" fillId="0" borderId="11" xfId="0" applyFont="1" applyBorder="1" applyAlignment="1" applyProtection="1">
      <alignment vertical="top" wrapText="1"/>
      <protection locked="0"/>
    </xf>
    <xf numFmtId="0" fontId="21" fillId="0" borderId="21" xfId="0" applyFont="1" applyBorder="1" applyAlignment="1" applyProtection="1">
      <alignment horizontal="left" vertical="top" wrapText="1"/>
      <protection locked="0"/>
    </xf>
    <xf numFmtId="0" fontId="20" fillId="0" borderId="21" xfId="0" applyFont="1" applyBorder="1" applyAlignment="1" applyProtection="1">
      <alignment vertical="top"/>
      <protection locked="0"/>
    </xf>
    <xf numFmtId="0" fontId="45" fillId="0" borderId="22" xfId="0" applyFont="1" applyBorder="1" applyAlignment="1">
      <alignment vertical="top" wrapText="1"/>
    </xf>
    <xf numFmtId="0" fontId="20" fillId="0" borderId="20" xfId="0" applyFont="1" applyBorder="1" applyAlignment="1">
      <alignment horizontal="center" vertical="top" wrapText="1"/>
    </xf>
    <xf numFmtId="0" fontId="20" fillId="0" borderId="20" xfId="0" applyFont="1" applyBorder="1" applyAlignment="1">
      <alignment horizontal="center" vertical="center"/>
    </xf>
    <xf numFmtId="49" fontId="20" fillId="0" borderId="20" xfId="0" applyNumberFormat="1" applyFont="1" applyBorder="1" applyAlignment="1">
      <alignment horizontal="left" vertical="top" wrapText="1"/>
    </xf>
    <xf numFmtId="0" fontId="20" fillId="0" borderId="20" xfId="0" applyFont="1" applyBorder="1" applyAlignment="1">
      <alignment vertical="top" wrapText="1"/>
    </xf>
    <xf numFmtId="0" fontId="34" fillId="0" borderId="20" xfId="0" applyFont="1" applyBorder="1" applyAlignment="1">
      <alignment horizontal="center" vertical="top" wrapText="1"/>
    </xf>
    <xf numFmtId="0" fontId="20" fillId="0" borderId="20" xfId="0" applyFont="1" applyBorder="1" applyAlignment="1" applyProtection="1">
      <alignment horizontal="center" vertical="center"/>
      <protection locked="0"/>
    </xf>
    <xf numFmtId="0" fontId="22" fillId="0" borderId="4" xfId="0" applyFont="1" applyBorder="1" applyAlignment="1" applyProtection="1">
      <alignment vertical="top" wrapText="1"/>
      <protection locked="0"/>
    </xf>
    <xf numFmtId="0" fontId="22" fillId="0" borderId="22" xfId="0" applyFont="1" applyBorder="1" applyAlignment="1" applyProtection="1">
      <alignment vertical="top" wrapText="1"/>
      <protection locked="0"/>
    </xf>
    <xf numFmtId="0" fontId="22" fillId="0" borderId="23" xfId="0" applyFont="1" applyBorder="1" applyAlignment="1" applyProtection="1">
      <alignment vertical="top" wrapText="1"/>
      <protection locked="0"/>
    </xf>
    <xf numFmtId="0" fontId="22" fillId="0" borderId="14" xfId="0" applyFont="1" applyBorder="1" applyAlignment="1" applyProtection="1">
      <alignment vertical="top" wrapText="1"/>
      <protection locked="0"/>
    </xf>
    <xf numFmtId="0" fontId="20" fillId="5" borderId="2" xfId="0" applyFont="1" applyFill="1" applyBorder="1" applyAlignment="1">
      <alignment horizontal="center" vertical="top" wrapText="1"/>
    </xf>
    <xf numFmtId="0" fontId="20" fillId="5" borderId="2" xfId="0" applyFont="1" applyFill="1" applyBorder="1" applyAlignment="1">
      <alignment horizontal="center" vertical="center"/>
    </xf>
    <xf numFmtId="49" fontId="20" fillId="3" borderId="2" xfId="0" applyNumberFormat="1" applyFont="1" applyFill="1" applyBorder="1" applyAlignment="1">
      <alignment horizontal="left" vertical="top" wrapText="1"/>
    </xf>
    <xf numFmtId="0" fontId="20" fillId="5" borderId="11" xfId="0" applyFont="1" applyFill="1" applyBorder="1" applyAlignment="1">
      <alignment vertical="top" wrapText="1"/>
    </xf>
    <xf numFmtId="0" fontId="20" fillId="5" borderId="20" xfId="0" applyFont="1" applyFill="1" applyBorder="1" applyAlignment="1">
      <alignment vertical="top" wrapText="1"/>
    </xf>
    <xf numFmtId="0" fontId="20" fillId="5" borderId="24" xfId="0" applyFont="1" applyFill="1" applyBorder="1" applyAlignment="1">
      <alignment vertical="top" wrapText="1"/>
    </xf>
    <xf numFmtId="0" fontId="20" fillId="0" borderId="25" xfId="0" applyFont="1" applyBorder="1" applyAlignment="1">
      <alignment vertical="top" wrapText="1"/>
    </xf>
    <xf numFmtId="49" fontId="20" fillId="3" borderId="26" xfId="0" applyNumberFormat="1" applyFont="1" applyFill="1" applyBorder="1" applyAlignment="1">
      <alignment horizontal="left" vertical="top" wrapText="1"/>
    </xf>
    <xf numFmtId="0" fontId="20" fillId="0" borderId="27" xfId="0" applyFont="1" applyBorder="1" applyAlignment="1" applyProtection="1">
      <alignment vertical="top" wrapText="1"/>
      <protection locked="0"/>
    </xf>
    <xf numFmtId="0" fontId="2" fillId="12" borderId="2" xfId="0" applyFont="1" applyFill="1" applyBorder="1" applyAlignment="1">
      <alignment horizontal="left" vertical="top" wrapText="1"/>
    </xf>
    <xf numFmtId="0" fontId="2" fillId="12" borderId="3" xfId="0" applyFont="1" applyFill="1" applyBorder="1" applyAlignment="1">
      <alignment horizontal="left" vertical="top" wrapText="1"/>
    </xf>
    <xf numFmtId="0" fontId="29" fillId="0" borderId="6" xfId="0" applyFont="1" applyBorder="1" applyAlignment="1">
      <alignment horizontal="left" vertical="top" wrapText="1"/>
    </xf>
    <xf numFmtId="0" fontId="29" fillId="0" borderId="9" xfId="0" applyFont="1" applyBorder="1" applyAlignment="1">
      <alignment horizontal="left" vertical="top" wrapText="1"/>
    </xf>
    <xf numFmtId="0" fontId="29" fillId="0" borderId="10" xfId="0" applyFont="1" applyBorder="1" applyAlignment="1">
      <alignment horizontal="left" vertical="top" wrapText="1"/>
    </xf>
    <xf numFmtId="0" fontId="29" fillId="12" borderId="9" xfId="0" applyFont="1" applyFill="1" applyBorder="1" applyAlignment="1">
      <alignment horizontal="left" vertical="top" wrapText="1"/>
    </xf>
    <xf numFmtId="0" fontId="29" fillId="12" borderId="10" xfId="0" applyFont="1" applyFill="1" applyBorder="1" applyAlignment="1">
      <alignment horizontal="left" vertical="top" wrapText="1"/>
    </xf>
    <xf numFmtId="0" fontId="46" fillId="13" borderId="9" xfId="0" applyFont="1" applyFill="1" applyBorder="1" applyAlignment="1">
      <alignment horizontal="left" vertical="top" wrapText="1"/>
    </xf>
    <xf numFmtId="0" fontId="46" fillId="13" borderId="10" xfId="0" applyFont="1" applyFill="1" applyBorder="1" applyAlignment="1">
      <alignment horizontal="left" vertical="top" wrapText="1"/>
    </xf>
    <xf numFmtId="0" fontId="29" fillId="14" borderId="9" xfId="0" applyFont="1" applyFill="1" applyBorder="1" applyAlignment="1">
      <alignment horizontal="left" vertical="top" wrapText="1"/>
    </xf>
    <xf numFmtId="0" fontId="29" fillId="14" borderId="10" xfId="0" applyFont="1" applyFill="1" applyBorder="1" applyAlignment="1">
      <alignment horizontal="left" vertical="top" wrapText="1"/>
    </xf>
    <xf numFmtId="0" fontId="2" fillId="0" borderId="9" xfId="0" applyFont="1" applyBorder="1" applyAlignment="1">
      <alignment horizontal="left" vertical="top" wrapText="1"/>
    </xf>
    <xf numFmtId="0" fontId="2" fillId="0" borderId="10" xfId="0" applyFont="1" applyBorder="1" applyAlignment="1">
      <alignment horizontal="left" vertical="top" wrapText="1"/>
    </xf>
    <xf numFmtId="0" fontId="2" fillId="12" borderId="9" xfId="0" applyFont="1" applyFill="1" applyBorder="1" applyAlignment="1">
      <alignment horizontal="left" vertical="top" wrapText="1"/>
    </xf>
    <xf numFmtId="0" fontId="2" fillId="12" borderId="10" xfId="0" applyFont="1" applyFill="1" applyBorder="1" applyAlignment="1">
      <alignment horizontal="left" vertical="top" wrapText="1"/>
    </xf>
    <xf numFmtId="0" fontId="2" fillId="14" borderId="9" xfId="0" applyFont="1" applyFill="1" applyBorder="1" applyAlignment="1">
      <alignment horizontal="left" vertical="top" wrapText="1"/>
    </xf>
    <xf numFmtId="0" fontId="2" fillId="14" borderId="10" xfId="0" applyFont="1" applyFill="1" applyBorder="1" applyAlignment="1">
      <alignment horizontal="left" vertical="top" wrapText="1"/>
    </xf>
    <xf numFmtId="0" fontId="29" fillId="13" borderId="9" xfId="0" applyFont="1" applyFill="1" applyBorder="1" applyAlignment="1">
      <alignment horizontal="left" vertical="top" wrapText="1"/>
    </xf>
    <xf numFmtId="0" fontId="29" fillId="13" borderId="10" xfId="0" applyFont="1" applyFill="1" applyBorder="1" applyAlignment="1">
      <alignment horizontal="left" vertical="top" wrapText="1"/>
    </xf>
    <xf numFmtId="0" fontId="48" fillId="13" borderId="9" xfId="0" applyFont="1" applyFill="1" applyBorder="1" applyAlignment="1">
      <alignment horizontal="left" vertical="top" wrapText="1"/>
    </xf>
    <xf numFmtId="0" fontId="22" fillId="12" borderId="9" xfId="0" applyFont="1" applyFill="1" applyBorder="1" applyAlignment="1">
      <alignment horizontal="left" vertical="top" wrapText="1"/>
    </xf>
    <xf numFmtId="0" fontId="49" fillId="12" borderId="10" xfId="0" applyFont="1" applyFill="1" applyBorder="1" applyAlignment="1">
      <alignment horizontal="left" vertical="top" wrapText="1"/>
    </xf>
    <xf numFmtId="0" fontId="29" fillId="12" borderId="9" xfId="0" applyFont="1" applyFill="1" applyBorder="1" applyAlignment="1">
      <alignment horizontal="left" vertical="top"/>
    </xf>
    <xf numFmtId="0" fontId="29" fillId="12" borderId="10" xfId="0" applyFont="1" applyFill="1" applyBorder="1" applyAlignment="1">
      <alignment horizontal="left" vertical="top"/>
    </xf>
    <xf numFmtId="0" fontId="48" fillId="15" borderId="9" xfId="0" applyFont="1" applyFill="1" applyBorder="1" applyAlignment="1">
      <alignment horizontal="left" vertical="top" wrapText="1"/>
    </xf>
    <xf numFmtId="0" fontId="48" fillId="15" borderId="10" xfId="0" applyFont="1" applyFill="1" applyBorder="1" applyAlignment="1">
      <alignment horizontal="left" vertical="top" wrapText="1"/>
    </xf>
    <xf numFmtId="0" fontId="2" fillId="0" borderId="1" xfId="0" applyFont="1" applyBorder="1" applyAlignment="1">
      <alignment horizontal="right" wrapText="1"/>
    </xf>
    <xf numFmtId="0" fontId="35" fillId="10" borderId="1" xfId="0" applyFont="1" applyFill="1" applyBorder="1" applyAlignment="1" applyProtection="1">
      <alignment vertical="top" wrapText="1"/>
      <protection locked="0"/>
    </xf>
    <xf numFmtId="0" fontId="2" fillId="16" borderId="9" xfId="0" applyFont="1" applyFill="1" applyBorder="1" applyAlignment="1">
      <alignment horizontal="left" vertical="top" wrapText="1"/>
    </xf>
    <xf numFmtId="0" fontId="2" fillId="16" borderId="10" xfId="0" applyFont="1" applyFill="1" applyBorder="1" applyAlignment="1">
      <alignment horizontal="left" vertical="top" wrapText="1"/>
    </xf>
    <xf numFmtId="0" fontId="16" fillId="0" borderId="1" xfId="0" applyFont="1" applyBorder="1"/>
    <xf numFmtId="0" fontId="2" fillId="0" borderId="2" xfId="0" applyFont="1" applyBorder="1" applyAlignment="1">
      <alignment horizontal="left" vertical="top"/>
    </xf>
    <xf numFmtId="0" fontId="20" fillId="0" borderId="2" xfId="0" applyFont="1"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left" vertical="top"/>
    </xf>
    <xf numFmtId="0" fontId="20" fillId="0" borderId="1" xfId="0" applyFont="1" applyBorder="1" applyAlignment="1">
      <alignment horizontal="left" vertical="top"/>
    </xf>
    <xf numFmtId="0" fontId="29" fillId="0" borderId="1" xfId="0" applyFont="1" applyBorder="1" applyAlignment="1">
      <alignment horizontal="left" vertical="top"/>
    </xf>
    <xf numFmtId="0" fontId="22" fillId="12" borderId="20" xfId="0" applyFont="1" applyFill="1" applyBorder="1" applyAlignment="1">
      <alignment horizontal="left" vertical="top" wrapText="1"/>
    </xf>
    <xf numFmtId="0" fontId="29" fillId="12" borderId="11" xfId="0" applyFont="1" applyFill="1" applyBorder="1" applyAlignment="1">
      <alignment horizontal="left" vertical="top" wrapText="1"/>
    </xf>
    <xf numFmtId="0" fontId="29" fillId="12" borderId="2" xfId="0" applyFont="1" applyFill="1" applyBorder="1" applyAlignment="1">
      <alignment horizontal="left" vertical="top" wrapText="1"/>
    </xf>
    <xf numFmtId="0" fontId="29" fillId="12" borderId="4" xfId="0" applyFont="1" applyFill="1" applyBorder="1" applyAlignment="1">
      <alignment horizontal="left" vertical="top" wrapText="1"/>
    </xf>
    <xf numFmtId="0" fontId="29" fillId="12" borderId="1" xfId="0" applyFont="1" applyFill="1" applyBorder="1" applyAlignment="1">
      <alignment horizontal="left" vertical="top" wrapText="1"/>
    </xf>
    <xf numFmtId="0" fontId="2" fillId="12" borderId="1" xfId="0" applyFont="1" applyFill="1" applyBorder="1" applyAlignment="1">
      <alignment horizontal="left" vertical="top" wrapText="1"/>
    </xf>
    <xf numFmtId="0" fontId="2" fillId="14" borderId="1" xfId="0" applyFont="1" applyFill="1" applyBorder="1" applyAlignment="1">
      <alignment horizontal="left" vertical="top" wrapText="1"/>
    </xf>
    <xf numFmtId="0" fontId="29" fillId="14" borderId="1" xfId="0" applyFont="1" applyFill="1" applyBorder="1" applyAlignment="1">
      <alignment horizontal="left" vertical="top" wrapText="1"/>
    </xf>
    <xf numFmtId="0" fontId="2" fillId="17" borderId="10" xfId="0" applyFont="1" applyFill="1" applyBorder="1" applyAlignment="1">
      <alignment horizontal="left" vertical="top" wrapText="1"/>
    </xf>
    <xf numFmtId="0" fontId="2" fillId="17" borderId="9" xfId="0" applyFont="1" applyFill="1" applyBorder="1" applyAlignment="1">
      <alignment horizontal="left" vertical="top" wrapText="1"/>
    </xf>
    <xf numFmtId="0" fontId="29" fillId="12" borderId="1" xfId="0" applyFont="1" applyFill="1" applyBorder="1" applyAlignment="1">
      <alignment horizontal="left" vertical="top"/>
    </xf>
    <xf numFmtId="0" fontId="51" fillId="0" borderId="1" xfId="0" applyFont="1" applyBorder="1" applyAlignment="1">
      <alignment horizontal="left" vertical="top" wrapText="1"/>
    </xf>
    <xf numFmtId="0" fontId="49" fillId="12" borderId="1" xfId="0" applyFont="1" applyFill="1" applyBorder="1" applyAlignment="1">
      <alignment horizontal="left" vertical="top" wrapText="1"/>
    </xf>
    <xf numFmtId="0" fontId="22" fillId="12" borderId="1" xfId="0" applyFont="1" applyFill="1" applyBorder="1" applyAlignment="1">
      <alignment horizontal="left" vertical="top" wrapText="1"/>
    </xf>
    <xf numFmtId="0" fontId="20" fillId="10" borderId="1" xfId="0" applyFont="1" applyFill="1" applyBorder="1" applyAlignment="1" applyProtection="1">
      <alignment vertical="top" wrapText="1"/>
      <protection locked="0"/>
    </xf>
    <xf numFmtId="0" fontId="35" fillId="10" borderId="1" xfId="0" applyFont="1" applyFill="1" applyBorder="1" applyAlignment="1">
      <alignment horizontal="left" vertical="top" wrapText="1"/>
    </xf>
    <xf numFmtId="0" fontId="2" fillId="18" borderId="2" xfId="0" applyFont="1" applyFill="1" applyBorder="1" applyAlignment="1">
      <alignment horizontal="left" vertical="top" wrapText="1"/>
    </xf>
    <xf numFmtId="0" fontId="0" fillId="0" borderId="0" xfId="0"/>
    <xf numFmtId="49" fontId="20" fillId="0" borderId="0" xfId="0" applyNumberFormat="1" applyFont="1" applyAlignment="1">
      <alignment horizontal="left"/>
    </xf>
    <xf numFmtId="49" fontId="20" fillId="0" borderId="0" xfId="0" quotePrefix="1" applyNumberFormat="1" applyFont="1" applyAlignment="1">
      <alignment horizontal="left"/>
    </xf>
    <xf numFmtId="0" fontId="30" fillId="3" borderId="6" xfId="0" applyFont="1" applyFill="1" applyBorder="1" applyAlignment="1">
      <alignment horizontal="center" vertical="top" wrapText="1"/>
    </xf>
    <xf numFmtId="0" fontId="20" fillId="9" borderId="6" xfId="0" applyFont="1" applyFill="1" applyBorder="1" applyAlignment="1">
      <alignment horizontal="center" vertical="top"/>
    </xf>
    <xf numFmtId="0" fontId="20" fillId="0" borderId="6" xfId="0" applyFont="1" applyBorder="1" applyAlignment="1">
      <alignment horizontal="center" vertical="top"/>
    </xf>
    <xf numFmtId="0" fontId="2" fillId="0" borderId="6" xfId="0" applyFont="1" applyBorder="1" applyAlignment="1">
      <alignment horizontal="center" vertical="top"/>
    </xf>
    <xf numFmtId="0" fontId="2" fillId="0" borderId="1" xfId="0" applyFont="1" applyBorder="1" applyAlignment="1">
      <alignment horizontal="center" vertical="center"/>
    </xf>
    <xf numFmtId="0" fontId="2" fillId="0" borderId="6" xfId="0" applyFont="1" applyBorder="1" applyAlignment="1">
      <alignment horizontal="center" vertical="top" wrapText="1"/>
    </xf>
    <xf numFmtId="14" fontId="0" fillId="0" borderId="1" xfId="0" applyNumberFormat="1" applyBorder="1" applyAlignment="1">
      <alignment vertical="top" wrapText="1"/>
    </xf>
    <xf numFmtId="49" fontId="2" fillId="0" borderId="6" xfId="0" applyNumberFormat="1" applyFont="1" applyBorder="1" applyAlignment="1">
      <alignment horizontal="center" vertical="top" wrapText="1"/>
    </xf>
    <xf numFmtId="0" fontId="20" fillId="0" borderId="1" xfId="0" applyFont="1" applyFill="1" applyBorder="1" applyAlignment="1">
      <alignment horizontal="center" vertical="center"/>
    </xf>
    <xf numFmtId="0" fontId="20" fillId="0" borderId="1" xfId="0" applyFont="1" applyFill="1" applyBorder="1" applyAlignment="1">
      <alignment horizontal="center" vertical="center" wrapText="1"/>
    </xf>
    <xf numFmtId="0" fontId="0" fillId="5" borderId="2" xfId="0" applyFill="1" applyBorder="1" applyAlignment="1">
      <alignment horizontal="center" vertical="top" wrapText="1"/>
    </xf>
    <xf numFmtId="0" fontId="0" fillId="5" borderId="2" xfId="0" applyFill="1" applyBorder="1" applyAlignment="1">
      <alignment vertical="top" wrapText="1"/>
    </xf>
    <xf numFmtId="0" fontId="13" fillId="5" borderId="2" xfId="0" applyFont="1" applyFill="1" applyBorder="1" applyAlignment="1">
      <alignment vertical="top" wrapText="1"/>
    </xf>
    <xf numFmtId="0" fontId="13" fillId="5" borderId="28" xfId="0" applyFont="1" applyFill="1" applyBorder="1" applyAlignment="1">
      <alignment vertical="top" wrapText="1"/>
    </xf>
    <xf numFmtId="0" fontId="0" fillId="5" borderId="3" xfId="0" applyFill="1" applyBorder="1" applyAlignment="1">
      <alignment vertical="top" wrapText="1"/>
    </xf>
    <xf numFmtId="0" fontId="16" fillId="3" borderId="8" xfId="0" applyFont="1" applyFill="1" applyBorder="1" applyAlignment="1">
      <alignment vertical="top" wrapText="1"/>
    </xf>
    <xf numFmtId="0" fontId="0" fillId="3" borderId="9" xfId="0" applyFill="1" applyBorder="1" applyAlignment="1">
      <alignment horizontal="center" vertical="top" wrapText="1"/>
    </xf>
    <xf numFmtId="0" fontId="53" fillId="3" borderId="0" xfId="6" applyFill="1" applyBorder="1" applyAlignment="1" applyProtection="1">
      <alignment wrapText="1"/>
    </xf>
    <xf numFmtId="0" fontId="0" fillId="0" borderId="1" xfId="0" applyBorder="1" applyAlignment="1">
      <alignment vertical="top" wrapText="1"/>
    </xf>
    <xf numFmtId="0" fontId="55" fillId="0" borderId="1" xfId="0" applyFont="1" applyBorder="1" applyAlignment="1">
      <alignment vertical="top" wrapText="1"/>
    </xf>
    <xf numFmtId="0" fontId="56" fillId="0" borderId="1" xfId="0" applyFont="1" applyBorder="1" applyAlignment="1">
      <alignment vertical="top"/>
    </xf>
    <xf numFmtId="0" fontId="57" fillId="0" borderId="1" xfId="0" applyFont="1" applyBorder="1" applyAlignment="1">
      <alignment horizontal="center" vertical="top" wrapText="1"/>
    </xf>
    <xf numFmtId="0" fontId="57" fillId="0" borderId="18" xfId="0" applyFont="1" applyBorder="1" applyAlignment="1">
      <alignment horizontal="center" vertical="top" wrapText="1"/>
    </xf>
    <xf numFmtId="0" fontId="10" fillId="0" borderId="1" xfId="0" applyFont="1" applyBorder="1" applyAlignment="1">
      <alignment horizontal="center" vertical="top" wrapText="1"/>
    </xf>
    <xf numFmtId="0" fontId="39" fillId="0" borderId="1" xfId="0" applyFont="1" applyBorder="1" applyAlignment="1">
      <alignment horizontal="center" vertical="top" wrapText="1"/>
    </xf>
    <xf numFmtId="0" fontId="17" fillId="0" borderId="9" xfId="0" applyFont="1" applyBorder="1" applyAlignment="1">
      <alignment vertical="top" wrapText="1"/>
    </xf>
    <xf numFmtId="0" fontId="58" fillId="0" borderId="0" xfId="0" applyFont="1" applyAlignment="1">
      <alignment horizontal="center" vertical="top" wrapText="1"/>
    </xf>
    <xf numFmtId="0" fontId="0" fillId="0" borderId="0" xfId="0" applyAlignment="1">
      <alignment vertical="top" wrapText="1"/>
    </xf>
    <xf numFmtId="0" fontId="55" fillId="0" borderId="29" xfId="0" applyFont="1" applyBorder="1" applyAlignment="1">
      <alignment vertical="top" wrapText="1"/>
    </xf>
    <xf numFmtId="0" fontId="38" fillId="0" borderId="29" xfId="0" applyFont="1" applyBorder="1" applyAlignment="1">
      <alignment vertical="top" wrapText="1"/>
    </xf>
    <xf numFmtId="0" fontId="56" fillId="0" borderId="29" xfId="0" applyFont="1" applyBorder="1" applyAlignment="1">
      <alignment vertical="top"/>
    </xf>
    <xf numFmtId="0" fontId="57" fillId="0" borderId="30" xfId="0" applyFont="1" applyBorder="1" applyAlignment="1">
      <alignment horizontal="center" vertical="top" wrapText="1"/>
    </xf>
    <xf numFmtId="0" fontId="57" fillId="0" borderId="31" xfId="0" applyFont="1" applyBorder="1" applyAlignment="1">
      <alignment horizontal="center" vertical="top" wrapText="1"/>
    </xf>
    <xf numFmtId="0" fontId="57" fillId="0" borderId="32" xfId="0" applyFont="1" applyBorder="1" applyAlignment="1">
      <alignment horizontal="center" vertical="top" wrapText="1"/>
    </xf>
    <xf numFmtId="0" fontId="57" fillId="0" borderId="29" xfId="0" applyFont="1" applyBorder="1" applyAlignment="1">
      <alignment horizontal="center" vertical="top" wrapText="1"/>
    </xf>
    <xf numFmtId="0" fontId="10" fillId="0" borderId="29" xfId="0" applyFont="1" applyBorder="1" applyAlignment="1">
      <alignment horizontal="center" vertical="top" wrapText="1"/>
    </xf>
    <xf numFmtId="0" fontId="39" fillId="0" borderId="29" xfId="0" applyFont="1" applyBorder="1" applyAlignment="1">
      <alignment horizontal="center" vertical="top" wrapText="1"/>
    </xf>
    <xf numFmtId="0" fontId="57" fillId="0" borderId="9" xfId="0" applyFont="1" applyBorder="1" applyAlignment="1">
      <alignment horizontal="center" vertical="top" wrapText="1"/>
    </xf>
    <xf numFmtId="0" fontId="38" fillId="0" borderId="33" xfId="0" applyFont="1" applyBorder="1" applyAlignment="1">
      <alignment horizontal="center" vertical="top" wrapText="1"/>
    </xf>
    <xf numFmtId="0" fontId="57" fillId="0" borderId="34" xfId="0" applyFont="1" applyBorder="1" applyAlignment="1">
      <alignment horizontal="center" vertical="top" wrapText="1"/>
    </xf>
    <xf numFmtId="0" fontId="38" fillId="0" borderId="1" xfId="0" quotePrefix="1" applyFont="1" applyBorder="1" applyAlignment="1">
      <alignment horizontal="center" vertical="top" wrapText="1"/>
    </xf>
    <xf numFmtId="0" fontId="17" fillId="0" borderId="9" xfId="0" applyFont="1" applyBorder="1"/>
    <xf numFmtId="0" fontId="58" fillId="0" borderId="0" xfId="0" applyFont="1" applyAlignment="1">
      <alignment horizontal="center" vertical="top"/>
    </xf>
    <xf numFmtId="0" fontId="38" fillId="0" borderId="4" xfId="0" applyFont="1" applyBorder="1" applyAlignment="1">
      <alignment horizontal="center" vertical="top" wrapText="1"/>
    </xf>
    <xf numFmtId="0" fontId="59" fillId="0" borderId="1" xfId="0" applyFont="1" applyBorder="1" applyAlignment="1">
      <alignment horizontal="center" vertical="top" wrapText="1"/>
    </xf>
    <xf numFmtId="0" fontId="60" fillId="0" borderId="0" xfId="0" applyFont="1"/>
    <xf numFmtId="0" fontId="61" fillId="0" borderId="0" xfId="0" applyFont="1"/>
    <xf numFmtId="0" fontId="61" fillId="0" borderId="0" xfId="0" applyFont="1" applyAlignment="1">
      <alignment vertical="top" wrapText="1"/>
    </xf>
    <xf numFmtId="0" fontId="0" fillId="0" borderId="30" xfId="0" applyBorder="1"/>
    <xf numFmtId="0" fontId="38" fillId="0" borderId="30" xfId="0" applyFont="1" applyBorder="1" applyAlignment="1">
      <alignment horizontal="center" vertical="top" wrapText="1"/>
    </xf>
    <xf numFmtId="0" fontId="56" fillId="0" borderId="30" xfId="0" applyFont="1" applyBorder="1" applyAlignment="1">
      <alignment vertical="top"/>
    </xf>
    <xf numFmtId="0" fontId="57" fillId="0" borderId="35" xfId="0" applyFont="1" applyBorder="1" applyAlignment="1">
      <alignment horizontal="center" vertical="top" wrapText="1"/>
    </xf>
    <xf numFmtId="0" fontId="57" fillId="0" borderId="36" xfId="0" applyFont="1" applyBorder="1" applyAlignment="1">
      <alignment horizontal="center" vertical="top" wrapText="1"/>
    </xf>
    <xf numFmtId="0" fontId="38" fillId="0" borderId="30" xfId="0" quotePrefix="1" applyFont="1" applyBorder="1" applyAlignment="1">
      <alignment horizontal="center" vertical="top" wrapText="1"/>
    </xf>
    <xf numFmtId="0" fontId="39" fillId="0" borderId="30" xfId="0" applyFont="1" applyBorder="1" applyAlignment="1">
      <alignment horizontal="center" vertical="top" wrapText="1"/>
    </xf>
    <xf numFmtId="0" fontId="0" fillId="0" borderId="9" xfId="0" applyBorder="1"/>
    <xf numFmtId="0" fontId="56" fillId="0" borderId="9" xfId="0" applyFont="1" applyBorder="1" applyAlignment="1">
      <alignment vertical="top"/>
    </xf>
    <xf numFmtId="0" fontId="57" fillId="0" borderId="37" xfId="0" applyFont="1" applyBorder="1" applyAlignment="1">
      <alignment horizontal="center" vertical="top" wrapText="1"/>
    </xf>
    <xf numFmtId="0" fontId="10" fillId="0" borderId="9" xfId="0" applyFont="1" applyBorder="1" applyAlignment="1">
      <alignment horizontal="center" vertical="top" wrapText="1"/>
    </xf>
    <xf numFmtId="0" fontId="39" fillId="0" borderId="9" xfId="0" applyFont="1" applyBorder="1" applyAlignment="1">
      <alignment horizontal="center" vertical="top" wrapText="1"/>
    </xf>
    <xf numFmtId="0" fontId="22" fillId="0" borderId="0" xfId="0" applyFont="1" applyAlignment="1">
      <alignment horizontal="center" vertical="top" wrapText="1"/>
    </xf>
    <xf numFmtId="0" fontId="38" fillId="0" borderId="0" xfId="0" applyFont="1" applyAlignment="1">
      <alignment horizontal="center" vertical="top" wrapText="1"/>
    </xf>
    <xf numFmtId="0" fontId="38" fillId="0" borderId="30" xfId="0" applyFont="1" applyBorder="1" applyAlignment="1">
      <alignment vertical="top" wrapText="1"/>
    </xf>
    <xf numFmtId="0" fontId="57" fillId="0" borderId="33" xfId="0" applyFont="1" applyBorder="1" applyAlignment="1">
      <alignment horizontal="center" vertical="top" wrapText="1"/>
    </xf>
    <xf numFmtId="0" fontId="57" fillId="0" borderId="38" xfId="0" applyFont="1" applyBorder="1" applyAlignment="1">
      <alignment horizontal="center" vertical="top" wrapText="1"/>
    </xf>
    <xf numFmtId="0" fontId="62" fillId="0" borderId="0" xfId="0" applyFont="1" applyAlignment="1">
      <alignment horizontal="left" vertical="top" wrapText="1"/>
    </xf>
    <xf numFmtId="0" fontId="10" fillId="0" borderId="9" xfId="0" applyFont="1" applyBorder="1" applyAlignment="1">
      <alignment vertical="top" wrapText="1"/>
    </xf>
    <xf numFmtId="0" fontId="10" fillId="0" borderId="33" xfId="0" applyFont="1" applyBorder="1" applyAlignment="1">
      <alignment horizontal="center" vertical="top" wrapText="1"/>
    </xf>
    <xf numFmtId="0" fontId="38" fillId="0" borderId="38" xfId="0" applyFont="1" applyBorder="1" applyAlignment="1">
      <alignment vertical="top" wrapText="1"/>
    </xf>
    <xf numFmtId="0" fontId="56" fillId="0" borderId="38" xfId="0" applyFont="1" applyBorder="1" applyAlignment="1">
      <alignment horizontal="center" vertical="top"/>
    </xf>
    <xf numFmtId="0" fontId="57" fillId="0" borderId="39" xfId="0" applyFont="1" applyBorder="1" applyAlignment="1">
      <alignment horizontal="center" vertical="top" wrapText="1"/>
    </xf>
    <xf numFmtId="0" fontId="57" fillId="0" borderId="40" xfId="0" applyFont="1" applyBorder="1" applyAlignment="1">
      <alignment horizontal="center" vertical="top" wrapText="1"/>
    </xf>
    <xf numFmtId="0" fontId="10" fillId="0" borderId="38" xfId="0" applyFont="1" applyBorder="1" applyAlignment="1">
      <alignment horizontal="center" vertical="top" wrapText="1"/>
    </xf>
    <xf numFmtId="0" fontId="39" fillId="0" borderId="38" xfId="0" applyFont="1" applyBorder="1" applyAlignment="1">
      <alignment horizontal="center" vertical="top" wrapText="1"/>
    </xf>
    <xf numFmtId="0" fontId="56" fillId="0" borderId="29" xfId="0" applyFont="1" applyBorder="1" applyAlignment="1">
      <alignment horizontal="center" vertical="top"/>
    </xf>
    <xf numFmtId="0" fontId="57" fillId="0" borderId="41" xfId="0" applyFont="1" applyBorder="1" applyAlignment="1">
      <alignment horizontal="center" vertical="top" wrapText="1"/>
    </xf>
    <xf numFmtId="0" fontId="0" fillId="19" borderId="0" xfId="0" applyFill="1"/>
    <xf numFmtId="0" fontId="0" fillId="0" borderId="42" xfId="0" applyBorder="1"/>
    <xf numFmtId="0" fontId="38" fillId="0" borderId="42" xfId="0" applyFont="1" applyBorder="1" applyAlignment="1">
      <alignment vertical="top" wrapText="1"/>
    </xf>
    <xf numFmtId="0" fontId="57" fillId="0" borderId="42" xfId="0" applyFont="1" applyBorder="1" applyAlignment="1">
      <alignment horizontal="center" vertical="top" wrapText="1"/>
    </xf>
    <xf numFmtId="0" fontId="57" fillId="0" borderId="43" xfId="0" applyFont="1" applyBorder="1" applyAlignment="1">
      <alignment horizontal="center" vertical="top" wrapText="1"/>
    </xf>
    <xf numFmtId="0" fontId="57" fillId="0" borderId="44" xfId="0" applyFont="1" applyBorder="1" applyAlignment="1">
      <alignment horizontal="center" vertical="top" wrapText="1"/>
    </xf>
    <xf numFmtId="0" fontId="10" fillId="0" borderId="42" xfId="0" applyFont="1" applyBorder="1" applyAlignment="1">
      <alignment horizontal="center" vertical="top" wrapText="1"/>
    </xf>
    <xf numFmtId="0" fontId="39" fillId="0" borderId="42" xfId="0" applyFont="1" applyBorder="1" applyAlignment="1">
      <alignment horizontal="center" vertical="top" wrapText="1"/>
    </xf>
    <xf numFmtId="0" fontId="62" fillId="0" borderId="42" xfId="0" applyFont="1" applyBorder="1" applyAlignment="1">
      <alignment horizontal="center" vertical="top" wrapText="1"/>
    </xf>
    <xf numFmtId="0" fontId="39" fillId="0" borderId="33" xfId="0" applyFont="1" applyBorder="1" applyAlignment="1">
      <alignment horizontal="center" vertical="top" wrapText="1"/>
    </xf>
    <xf numFmtId="0" fontId="10" fillId="0" borderId="30" xfId="0" applyFont="1" applyBorder="1" applyAlignment="1">
      <alignment horizontal="center" vertical="top" wrapText="1"/>
    </xf>
    <xf numFmtId="0" fontId="38" fillId="0" borderId="0" xfId="0" applyFont="1" applyAlignment="1">
      <alignment vertical="top" wrapText="1"/>
    </xf>
    <xf numFmtId="0" fontId="57" fillId="0" borderId="0" xfId="0" applyFont="1" applyAlignment="1">
      <alignment horizontal="center" vertical="top" wrapText="1"/>
    </xf>
    <xf numFmtId="0" fontId="10" fillId="0" borderId="0" xfId="0" applyFont="1" applyAlignment="1">
      <alignment horizontal="center" vertical="top" wrapText="1"/>
    </xf>
    <xf numFmtId="0" fontId="0" fillId="0" borderId="0" xfId="0" applyAlignment="1">
      <alignment vertical="top"/>
    </xf>
    <xf numFmtId="0" fontId="17" fillId="0" borderId="0" xfId="0" applyFont="1" applyAlignment="1">
      <alignment vertical="top"/>
    </xf>
    <xf numFmtId="0" fontId="40" fillId="0" borderId="0" xfId="0" applyFont="1" applyAlignment="1">
      <alignment vertical="top"/>
    </xf>
    <xf numFmtId="0" fontId="41" fillId="0" borderId="0" xfId="0" applyFont="1" applyAlignment="1">
      <alignment vertical="top"/>
    </xf>
    <xf numFmtId="0" fontId="44" fillId="0" borderId="0" xfId="0" applyFont="1" applyAlignment="1">
      <alignment vertical="top"/>
    </xf>
    <xf numFmtId="0" fontId="42" fillId="0" borderId="0" xfId="0" applyFont="1" applyAlignment="1">
      <alignment vertical="top"/>
    </xf>
    <xf numFmtId="0" fontId="61" fillId="0" borderId="0" xfId="0" applyFont="1" applyAlignment="1">
      <alignment vertical="top"/>
    </xf>
    <xf numFmtId="0" fontId="20" fillId="10" borderId="1" xfId="0" applyFont="1" applyFill="1" applyBorder="1" applyAlignment="1" applyProtection="1">
      <alignment horizontal="left" vertical="top" wrapText="1"/>
      <protection locked="0"/>
    </xf>
    <xf numFmtId="0" fontId="2" fillId="10" borderId="1" xfId="0" applyFont="1" applyFill="1" applyBorder="1" applyAlignment="1" applyProtection="1">
      <alignment vertical="top" wrapText="1"/>
      <protection locked="0"/>
    </xf>
    <xf numFmtId="49" fontId="23" fillId="0" borderId="14" xfId="1" applyNumberFormat="1" applyFont="1" applyFill="1" applyBorder="1" applyAlignment="1" applyProtection="1">
      <alignment vertical="top" wrapText="1"/>
      <protection locked="0"/>
    </xf>
    <xf numFmtId="0" fontId="20" fillId="11" borderId="1" xfId="0" applyFont="1" applyFill="1" applyBorder="1" applyAlignment="1">
      <alignment horizontal="center" wrapText="1"/>
    </xf>
    <xf numFmtId="0" fontId="20" fillId="11" borderId="1" xfId="0" applyFont="1" applyFill="1" applyBorder="1" applyAlignment="1">
      <alignment horizontal="left" wrapText="1"/>
    </xf>
    <xf numFmtId="0" fontId="20" fillId="11" borderId="1" xfId="0" applyFont="1" applyFill="1" applyBorder="1" applyAlignment="1">
      <alignment horizontal="center"/>
    </xf>
    <xf numFmtId="0" fontId="20" fillId="11" borderId="1" xfId="0" applyFont="1" applyFill="1" applyBorder="1"/>
    <xf numFmtId="49" fontId="20" fillId="11" borderId="1" xfId="0" applyNumberFormat="1" applyFont="1" applyFill="1" applyBorder="1" applyAlignment="1">
      <alignment horizontal="center"/>
    </xf>
    <xf numFmtId="49" fontId="20" fillId="11" borderId="1" xfId="0" applyNumberFormat="1" applyFont="1" applyFill="1" applyBorder="1"/>
    <xf numFmtId="0" fontId="20" fillId="11" borderId="6" xfId="0" applyFont="1" applyFill="1" applyBorder="1"/>
    <xf numFmtId="49" fontId="20" fillId="11" borderId="6" xfId="0" applyNumberFormat="1" applyFont="1" applyFill="1" applyBorder="1"/>
    <xf numFmtId="0" fontId="22" fillId="0" borderId="22" xfId="0" applyFont="1" applyBorder="1" applyAlignment="1">
      <alignment vertical="top" wrapText="1"/>
    </xf>
    <xf numFmtId="0" fontId="2" fillId="0" borderId="1" xfId="0" applyFont="1" applyFill="1" applyBorder="1" applyAlignment="1" applyProtection="1">
      <alignment vertical="top" wrapText="1"/>
      <protection locked="0"/>
    </xf>
    <xf numFmtId="0" fontId="20" fillId="0" borderId="1" xfId="0" applyFont="1" applyFill="1" applyBorder="1" applyAlignment="1">
      <alignment horizontal="center" vertical="top" wrapText="1"/>
    </xf>
    <xf numFmtId="0" fontId="21" fillId="0" borderId="1" xfId="0" applyFont="1" applyFill="1" applyBorder="1" applyAlignment="1" applyProtection="1">
      <alignment horizontal="center" vertical="top" wrapText="1"/>
      <protection locked="0"/>
    </xf>
    <xf numFmtId="0" fontId="20" fillId="0" borderId="1" xfId="0" applyFont="1" applyFill="1" applyBorder="1" applyAlignment="1">
      <alignment vertical="top" wrapText="1"/>
    </xf>
    <xf numFmtId="0" fontId="20" fillId="0" borderId="1" xfId="0" applyFont="1" applyFill="1" applyBorder="1" applyAlignment="1" applyProtection="1">
      <alignment vertical="top" wrapText="1"/>
      <protection locked="0"/>
    </xf>
    <xf numFmtId="0" fontId="22" fillId="0" borderId="1" xfId="0" applyFont="1" applyFill="1" applyBorder="1" applyAlignment="1" applyProtection="1">
      <alignment vertical="top" wrapText="1"/>
      <protection locked="0"/>
    </xf>
    <xf numFmtId="0" fontId="20" fillId="0" borderId="1" xfId="0" applyFont="1" applyFill="1" applyBorder="1" applyAlignment="1" applyProtection="1">
      <alignment horizontal="center" vertical="top"/>
      <protection locked="0"/>
    </xf>
    <xf numFmtId="0" fontId="21" fillId="0" borderId="1" xfId="0" applyFont="1" applyFill="1" applyBorder="1" applyAlignment="1" applyProtection="1">
      <alignment horizontal="left" vertical="top" wrapText="1"/>
      <protection locked="0"/>
    </xf>
    <xf numFmtId="0" fontId="20" fillId="0" borderId="1" xfId="0" applyFont="1" applyFill="1" applyBorder="1" applyAlignment="1" applyProtection="1">
      <alignment vertical="top"/>
      <protection locked="0"/>
    </xf>
    <xf numFmtId="0" fontId="20" fillId="0" borderId="0" xfId="0" applyFont="1" applyBorder="1" applyAlignment="1" applyProtection="1">
      <alignment vertical="top" wrapText="1"/>
      <protection locked="0"/>
    </xf>
    <xf numFmtId="0" fontId="23" fillId="0" borderId="45" xfId="1" applyFont="1" applyFill="1" applyBorder="1" applyAlignment="1" applyProtection="1">
      <alignment vertical="top" wrapText="1"/>
      <protection locked="0"/>
    </xf>
    <xf numFmtId="0" fontId="20" fillId="0" borderId="45" xfId="0" applyFont="1" applyBorder="1" applyAlignment="1" applyProtection="1">
      <alignment vertical="top" wrapText="1"/>
      <protection locked="0"/>
    </xf>
    <xf numFmtId="0" fontId="20" fillId="0" borderId="1" xfId="0" applyFont="1" applyFill="1" applyBorder="1" applyAlignment="1" applyProtection="1">
      <alignment horizontal="left" vertical="top" wrapText="1"/>
      <protection locked="0"/>
    </xf>
    <xf numFmtId="0" fontId="0" fillId="0" borderId="46" xfId="0" applyBorder="1"/>
    <xf numFmtId="0" fontId="57" fillId="0" borderId="42" xfId="0" quotePrefix="1" applyFont="1" applyBorder="1" applyAlignment="1">
      <alignment horizontal="center" vertical="top" wrapText="1"/>
    </xf>
    <xf numFmtId="0" fontId="39" fillId="0" borderId="47" xfId="0" applyFont="1" applyBorder="1" applyAlignment="1">
      <alignment horizontal="center" vertical="top" wrapText="1"/>
    </xf>
    <xf numFmtId="0" fontId="38" fillId="0" borderId="9" xfId="0" quotePrefix="1" applyFont="1" applyBorder="1" applyAlignment="1">
      <alignment horizontal="center" vertical="top" wrapText="1"/>
    </xf>
    <xf numFmtId="0" fontId="16" fillId="3" borderId="1" xfId="0" applyFont="1" applyFill="1" applyBorder="1" applyAlignment="1">
      <alignment horizontal="center" vertical="center"/>
    </xf>
    <xf numFmtId="0" fontId="0" fillId="0" borderId="0" xfId="0"/>
    <xf numFmtId="0" fontId="60" fillId="0" borderId="0" xfId="0" applyFont="1" applyFill="1"/>
    <xf numFmtId="0" fontId="65" fillId="11" borderId="6" xfId="0" applyFont="1" applyFill="1" applyBorder="1" applyAlignment="1">
      <alignment horizontal="center" vertical="top"/>
    </xf>
    <xf numFmtId="0" fontId="65" fillId="11" borderId="1" xfId="0" applyFont="1" applyFill="1" applyBorder="1" applyAlignment="1">
      <alignment horizontal="center" vertical="center"/>
    </xf>
    <xf numFmtId="0" fontId="47" fillId="11" borderId="9" xfId="0" applyFont="1" applyFill="1" applyBorder="1" applyAlignment="1">
      <alignment wrapText="1"/>
    </xf>
    <xf numFmtId="0" fontId="65" fillId="6" borderId="6" xfId="0" applyFont="1" applyFill="1" applyBorder="1" applyAlignment="1">
      <alignment horizontal="center" vertical="top"/>
    </xf>
    <xf numFmtId="0" fontId="65" fillId="6" borderId="1" xfId="0" applyFont="1" applyFill="1" applyBorder="1" applyAlignment="1">
      <alignment horizontal="center" vertical="center"/>
    </xf>
    <xf numFmtId="0" fontId="65" fillId="11" borderId="5" xfId="0" applyFont="1" applyFill="1" applyBorder="1" applyAlignment="1">
      <alignment horizontal="center" vertical="top"/>
    </xf>
    <xf numFmtId="0" fontId="65" fillId="11" borderId="8" xfId="0" applyFont="1" applyFill="1" applyBorder="1" applyAlignment="1">
      <alignment horizontal="center" vertical="center"/>
    </xf>
    <xf numFmtId="0" fontId="65" fillId="11" borderId="0" xfId="0" applyFont="1" applyFill="1"/>
    <xf numFmtId="0" fontId="57" fillId="0" borderId="9" xfId="0" quotePrefix="1" applyFont="1" applyBorder="1" applyAlignment="1">
      <alignment horizontal="center" vertical="top" wrapText="1"/>
    </xf>
    <xf numFmtId="0" fontId="0" fillId="0" borderId="0" xfId="0"/>
    <xf numFmtId="0" fontId="66" fillId="0" borderId="1" xfId="0" applyFont="1" applyBorder="1" applyAlignment="1">
      <alignment horizontal="center" vertical="top" wrapText="1"/>
    </xf>
    <xf numFmtId="0" fontId="67" fillId="0" borderId="1" xfId="0" applyFont="1" applyBorder="1" applyAlignment="1">
      <alignment vertical="top"/>
    </xf>
    <xf numFmtId="0" fontId="68" fillId="0" borderId="1" xfId="0" applyFont="1" applyBorder="1" applyAlignment="1">
      <alignment horizontal="center" vertical="top" wrapText="1"/>
    </xf>
    <xf numFmtId="0" fontId="66" fillId="0" borderId="4" xfId="0" applyFont="1" applyBorder="1" applyAlignment="1">
      <alignment horizontal="center" vertical="top" wrapText="1"/>
    </xf>
    <xf numFmtId="0" fontId="68" fillId="0" borderId="34" xfId="0" applyFont="1" applyBorder="1" applyAlignment="1">
      <alignment horizontal="center" vertical="top" wrapText="1"/>
    </xf>
    <xf numFmtId="0" fontId="66" fillId="0" borderId="1" xfId="0" quotePrefix="1" applyFont="1" applyBorder="1" applyAlignment="1">
      <alignment horizontal="center" vertical="top" wrapText="1"/>
    </xf>
    <xf numFmtId="0" fontId="17" fillId="0" borderId="1" xfId="0" applyFont="1" applyBorder="1"/>
    <xf numFmtId="0" fontId="69" fillId="10" borderId="1" xfId="0" applyFont="1" applyFill="1" applyBorder="1" applyAlignment="1">
      <alignment horizontal="center" vertical="top" wrapText="1"/>
    </xf>
    <xf numFmtId="0" fontId="69" fillId="10" borderId="4" xfId="0" applyFont="1" applyFill="1" applyBorder="1" applyAlignment="1">
      <alignment horizontal="center" vertical="top" wrapText="1"/>
    </xf>
    <xf numFmtId="0" fontId="57" fillId="10" borderId="1" xfId="0" applyFont="1" applyFill="1" applyBorder="1" applyAlignment="1">
      <alignment horizontal="center" vertical="top" wrapText="1"/>
    </xf>
    <xf numFmtId="0" fontId="57" fillId="10" borderId="30" xfId="0" applyFont="1" applyFill="1" applyBorder="1" applyAlignment="1">
      <alignment horizontal="center" vertical="top" wrapText="1"/>
    </xf>
    <xf numFmtId="14" fontId="17" fillId="10" borderId="1" xfId="0" applyNumberFormat="1" applyFont="1" applyFill="1" applyBorder="1"/>
    <xf numFmtId="0" fontId="69" fillId="10" borderId="9" xfId="0" applyFont="1" applyFill="1" applyBorder="1" applyAlignment="1">
      <alignment horizontal="center" vertical="top" wrapText="1"/>
    </xf>
    <xf numFmtId="0" fontId="69" fillId="10" borderId="33" xfId="0" applyFont="1" applyFill="1" applyBorder="1" applyAlignment="1">
      <alignment horizontal="center" vertical="top" wrapText="1"/>
    </xf>
    <xf numFmtId="0" fontId="57" fillId="10" borderId="9" xfId="0" applyFont="1" applyFill="1" applyBorder="1" applyAlignment="1">
      <alignment horizontal="center" vertical="top" wrapText="1"/>
    </xf>
    <xf numFmtId="0" fontId="39" fillId="10" borderId="29" xfId="0" applyFont="1" applyFill="1" applyBorder="1" applyAlignment="1">
      <alignment horizontal="center" vertical="top" wrapText="1"/>
    </xf>
    <xf numFmtId="0" fontId="39" fillId="0" borderId="8" xfId="0" applyFont="1" applyBorder="1" applyAlignment="1">
      <alignment horizontal="center" vertical="top" wrapText="1"/>
    </xf>
    <xf numFmtId="0" fontId="39" fillId="10" borderId="30" xfId="0" applyFont="1" applyFill="1" applyBorder="1" applyAlignment="1">
      <alignment vertical="top" wrapText="1"/>
    </xf>
    <xf numFmtId="0" fontId="70" fillId="10" borderId="30" xfId="0" applyFont="1" applyFill="1" applyBorder="1" applyAlignment="1">
      <alignment vertical="top"/>
    </xf>
    <xf numFmtId="0" fontId="39" fillId="10" borderId="30" xfId="0" applyFont="1" applyFill="1" applyBorder="1" applyAlignment="1">
      <alignment horizontal="center" vertical="top" wrapText="1"/>
    </xf>
    <xf numFmtId="0" fontId="69" fillId="10" borderId="30" xfId="0" applyFont="1" applyFill="1" applyBorder="1" applyAlignment="1">
      <alignment horizontal="center" vertical="top" wrapText="1"/>
    </xf>
    <xf numFmtId="0" fontId="69" fillId="10" borderId="35" xfId="0" applyFont="1" applyFill="1" applyBorder="1" applyAlignment="1">
      <alignment horizontal="center" vertical="top" wrapText="1"/>
    </xf>
    <xf numFmtId="0" fontId="69" fillId="10" borderId="36" xfId="0" applyFont="1" applyFill="1" applyBorder="1" applyAlignment="1">
      <alignment horizontal="center" vertical="top" wrapText="1"/>
    </xf>
    <xf numFmtId="0" fontId="69" fillId="10" borderId="29" xfId="0" applyFont="1" applyFill="1" applyBorder="1" applyAlignment="1">
      <alignment horizontal="center" vertical="top" wrapText="1"/>
    </xf>
    <xf numFmtId="0" fontId="10" fillId="10" borderId="30" xfId="0" applyFont="1" applyFill="1" applyBorder="1" applyAlignment="1">
      <alignment horizontal="center" vertical="top" wrapText="1"/>
    </xf>
    <xf numFmtId="0" fontId="39" fillId="0" borderId="8" xfId="0" applyFont="1" applyBorder="1" applyAlignment="1">
      <alignment horizontal="left" vertical="top" wrapText="1"/>
    </xf>
    <xf numFmtId="0" fontId="57" fillId="10" borderId="29" xfId="0" applyFont="1" applyFill="1" applyBorder="1" applyAlignment="1">
      <alignment horizontal="center" vertical="top" wrapText="1"/>
    </xf>
    <xf numFmtId="164" fontId="20" fillId="0" borderId="1" xfId="0" applyNumberFormat="1" applyFont="1" applyBorder="1" applyAlignment="1">
      <alignment horizontal="left"/>
    </xf>
    <xf numFmtId="0" fontId="20" fillId="0" borderId="1" xfId="0" applyFont="1" applyBorder="1"/>
    <xf numFmtId="0" fontId="20" fillId="0" borderId="1" xfId="0" applyFont="1" applyBorder="1" applyAlignment="1">
      <alignment wrapText="1"/>
    </xf>
    <xf numFmtId="164" fontId="0" fillId="0" borderId="1" xfId="0" applyNumberFormat="1" applyBorder="1" applyAlignment="1">
      <alignment horizontal="left"/>
    </xf>
    <xf numFmtId="0" fontId="63" fillId="3" borderId="0" xfId="0" applyFont="1" applyFill="1" applyAlignment="1">
      <alignment horizontal="center" wrapText="1"/>
    </xf>
    <xf numFmtId="0" fontId="63" fillId="3" borderId="0" xfId="0" applyFont="1" applyFill="1" applyAlignment="1">
      <alignment horizontal="center"/>
    </xf>
    <xf numFmtId="0" fontId="63" fillId="3" borderId="5" xfId="0" applyFont="1" applyFill="1" applyBorder="1" applyAlignment="1">
      <alignment horizontal="center"/>
    </xf>
    <xf numFmtId="0" fontId="0" fillId="0" borderId="0" xfId="0"/>
    <xf numFmtId="0" fontId="21" fillId="5" borderId="12" xfId="0" applyFont="1" applyFill="1" applyBorder="1" applyAlignment="1">
      <alignment horizontal="center"/>
    </xf>
    <xf numFmtId="0" fontId="20" fillId="5" borderId="12" xfId="0" applyFont="1" applyFill="1" applyBorder="1" applyAlignment="1">
      <alignment horizontal="center"/>
    </xf>
    <xf numFmtId="0" fontId="20" fillId="11" borderId="4" xfId="0" applyFont="1" applyFill="1" applyBorder="1"/>
    <xf numFmtId="0" fontId="20" fillId="11" borderId="6" xfId="0" applyFont="1" applyFill="1" applyBorder="1"/>
  </cellXfs>
  <cellStyles count="7">
    <cellStyle name="Hyperlink" xfId="1" builtinId="8"/>
    <cellStyle name="Hyperlink 2" xfId="6" xr:uid="{87725D15-A0CF-4BE4-B4E1-723DBF6B0E86}"/>
    <cellStyle name="Normal" xfId="0" builtinId="0"/>
    <cellStyle name="Normal 2" xfId="2" xr:uid="{00000000-0005-0000-0000-000002000000}"/>
    <cellStyle name="Normal 2 2" xfId="3" xr:uid="{00000000-0005-0000-0000-000003000000}"/>
    <cellStyle name="Normal 2 2 2" xfId="4" xr:uid="{00000000-0005-0000-0000-000004000000}"/>
    <cellStyle name="Normal 2 3" xfId="5" xr:uid="{00000000-0005-0000-0000-00000500000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abennett\Downloads\TAXL%20TEMPLATE%20(mapping%20&amp;%20validati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E LAYOUTS"/>
      <sheetName val="UPDATES"/>
      <sheetName val="DC PURGE-BROADRIDGE"/>
      <sheetName val="BROADRIDGE"/>
      <sheetName val="Broadridge - Options"/>
      <sheetName val="Broadridge - TABLE A"/>
      <sheetName val="BROADRIDGE - Clients"/>
      <sheetName val="PERSHING - Clients"/>
      <sheetName val="TAXL MAPPING-MASTER"/>
      <sheetName val="TAXL MAPPING-Vendors"/>
      <sheetName val="DC PURGE-SIS PAPR"/>
      <sheetName val="DC PURGE-PERSHING"/>
      <sheetName val="TAXL Equities VALIDATION"/>
      <sheetName val="TAXL MF Validation"/>
      <sheetName val="TAXL UIT MLPs Validation"/>
      <sheetName val="TAXL Wash Sale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5"/>
  <sheetViews>
    <sheetView tabSelected="1" zoomScaleNormal="100" workbookViewId="0">
      <selection activeCell="B4" sqref="B4"/>
    </sheetView>
  </sheetViews>
  <sheetFormatPr defaultRowHeight="15"/>
  <cols>
    <col min="1" max="1" width="34.140625" customWidth="1"/>
    <col min="2" max="2" width="29.85546875" customWidth="1"/>
    <col min="3" max="3" width="67.42578125" customWidth="1"/>
    <col min="4" max="4" width="44.42578125" customWidth="1"/>
    <col min="5" max="5" width="13.140625" customWidth="1"/>
    <col min="7" max="7" width="9.140625" customWidth="1"/>
  </cols>
  <sheetData>
    <row r="1" spans="1:8" ht="36" customHeight="1">
      <c r="A1" s="43" t="s">
        <v>854</v>
      </c>
      <c r="B1" s="44"/>
      <c r="C1" s="44"/>
      <c r="D1" s="44"/>
      <c r="E1" s="45"/>
      <c r="F1" s="45"/>
      <c r="G1" s="45"/>
      <c r="H1" s="46"/>
    </row>
    <row r="2" spans="1:8">
      <c r="A2" s="1" t="s">
        <v>0</v>
      </c>
      <c r="B2" s="47">
        <v>45771</v>
      </c>
      <c r="D2" s="84" t="s">
        <v>3</v>
      </c>
    </row>
    <row r="3" spans="1:8">
      <c r="A3" s="48" t="s">
        <v>1</v>
      </c>
      <c r="B3" s="49">
        <v>45845</v>
      </c>
      <c r="D3" s="3" t="s">
        <v>5</v>
      </c>
    </row>
    <row r="4" spans="1:8">
      <c r="A4" s="48"/>
      <c r="B4" s="49"/>
      <c r="C4" s="48" t="s">
        <v>2</v>
      </c>
      <c r="D4" s="3"/>
    </row>
    <row r="5" spans="1:8">
      <c r="A5" s="2" t="s">
        <v>4</v>
      </c>
      <c r="B5" s="328" t="s">
        <v>855</v>
      </c>
      <c r="D5" s="84" t="s">
        <v>8</v>
      </c>
    </row>
    <row r="6" spans="1:8">
      <c r="A6" s="2" t="s">
        <v>6</v>
      </c>
      <c r="B6" s="329" t="s">
        <v>856</v>
      </c>
      <c r="C6" t="s">
        <v>2</v>
      </c>
      <c r="D6" s="3" t="s">
        <v>9</v>
      </c>
    </row>
    <row r="7" spans="1:8">
      <c r="A7" s="54" t="s">
        <v>7</v>
      </c>
      <c r="B7" s="55" t="s">
        <v>857</v>
      </c>
      <c r="D7" s="3" t="s">
        <v>11</v>
      </c>
    </row>
    <row r="8" spans="1:8">
      <c r="A8" s="1"/>
      <c r="B8" s="1"/>
      <c r="D8" s="3" t="s">
        <v>13</v>
      </c>
    </row>
    <row r="9" spans="1:8">
      <c r="A9" s="3" t="s">
        <v>10</v>
      </c>
      <c r="B9" s="3" t="s">
        <v>861</v>
      </c>
      <c r="D9" s="3" t="s">
        <v>14</v>
      </c>
    </row>
    <row r="10" spans="1:8">
      <c r="A10" s="3" t="s">
        <v>12</v>
      </c>
      <c r="B10" s="3" t="s">
        <v>860</v>
      </c>
      <c r="C10" s="1"/>
      <c r="D10" s="3" t="s">
        <v>17</v>
      </c>
    </row>
    <row r="11" spans="1:8">
      <c r="A11" s="3"/>
      <c r="D11" s="3" t="s">
        <v>19</v>
      </c>
    </row>
    <row r="12" spans="1:8">
      <c r="A12" s="3"/>
      <c r="D12" s="3"/>
    </row>
    <row r="13" spans="1:8">
      <c r="A13" s="3"/>
      <c r="D13" s="3"/>
    </row>
    <row r="14" spans="1:8">
      <c r="A14" s="59" t="s">
        <v>15</v>
      </c>
      <c r="B14" s="59" t="s">
        <v>16</v>
      </c>
      <c r="C14" s="303" t="s">
        <v>832</v>
      </c>
    </row>
    <row r="15" spans="1:8" ht="96" customHeight="1">
      <c r="A15" s="304" t="s">
        <v>862</v>
      </c>
      <c r="B15" s="305" t="s">
        <v>20</v>
      </c>
      <c r="C15" s="306" t="s">
        <v>833</v>
      </c>
      <c r="D15" t="s">
        <v>2</v>
      </c>
    </row>
    <row r="16" spans="1:8" ht="36.75" customHeight="1">
      <c r="A16" s="304" t="s">
        <v>863</v>
      </c>
      <c r="B16" s="308" t="s">
        <v>22</v>
      </c>
      <c r="C16" s="306" t="s">
        <v>834</v>
      </c>
    </row>
    <row r="17" spans="1:4" ht="113.25" customHeight="1">
      <c r="A17" s="304" t="s">
        <v>864</v>
      </c>
      <c r="B17" s="309" t="s">
        <v>18</v>
      </c>
      <c r="C17" s="306" t="s">
        <v>836</v>
      </c>
    </row>
    <row r="18" spans="1:4" ht="22.5" customHeight="1">
      <c r="A18" s="307" t="s">
        <v>865</v>
      </c>
      <c r="B18" s="308" t="s">
        <v>21</v>
      </c>
      <c r="C18" s="306" t="s">
        <v>835</v>
      </c>
    </row>
    <row r="19" spans="1:4">
      <c r="A19" s="189"/>
      <c r="B19" s="3"/>
    </row>
    <row r="20" spans="1:4">
      <c r="A20" s="189"/>
      <c r="B20" s="3"/>
    </row>
    <row r="21" spans="1:4">
      <c r="A21" s="54" t="s">
        <v>23</v>
      </c>
      <c r="C21" s="45"/>
      <c r="D21" s="52"/>
    </row>
    <row r="22" spans="1:4">
      <c r="A22" t="s">
        <v>24</v>
      </c>
      <c r="B22" s="3" t="s">
        <v>858</v>
      </c>
      <c r="D22" s="2"/>
    </row>
    <row r="23" spans="1:4">
      <c r="A23" t="s">
        <v>25</v>
      </c>
      <c r="B23" s="3" t="s">
        <v>859</v>
      </c>
      <c r="C23" s="2"/>
    </row>
    <row r="24" spans="1:4">
      <c r="A24" t="s">
        <v>26</v>
      </c>
      <c r="B24" t="s">
        <v>73</v>
      </c>
      <c r="D24" s="2"/>
    </row>
    <row r="25" spans="1:4">
      <c r="A25" t="s">
        <v>28</v>
      </c>
      <c r="B25" t="s">
        <v>73</v>
      </c>
    </row>
    <row r="26" spans="1:4">
      <c r="A26" s="50"/>
    </row>
    <row r="27" spans="1:4">
      <c r="A27" s="59" t="s">
        <v>29</v>
      </c>
      <c r="B27" s="60" t="s">
        <v>30</v>
      </c>
    </row>
    <row r="28" spans="1:4">
      <c r="A28" s="56" t="str">
        <f>CONCATENATE(B22,".CV.",B22,"C",B24,"CV65EA.DBCDCY2K(+0)")</f>
        <v>V3.CV.V3CICV65EA.DBCDCY2K(+0)</v>
      </c>
      <c r="B28" s="56" t="s">
        <v>31</v>
      </c>
      <c r="C28" s="57" t="s">
        <v>32</v>
      </c>
    </row>
    <row r="29" spans="1:4">
      <c r="A29" s="58" t="str">
        <f>CONCATENATE(B23,".CV.",B25,"C",B25,"CV65EA.DBCDCY2K(+0)")</f>
        <v>W1.CV.ICICV65EA.DBCDCY2K(+0)</v>
      </c>
      <c r="B29" s="56" t="s">
        <v>31</v>
      </c>
      <c r="C29" t="s">
        <v>33</v>
      </c>
      <c r="D29" t="s">
        <v>2</v>
      </c>
    </row>
    <row r="30" spans="1:4">
      <c r="A30" s="3"/>
      <c r="B30" t="s">
        <v>2</v>
      </c>
    </row>
    <row r="31" spans="1:4">
      <c r="A31" s="3"/>
    </row>
    <row r="32" spans="1:4">
      <c r="A32" s="156" t="s">
        <v>34</v>
      </c>
    </row>
    <row r="33" spans="1:7">
      <c r="A33" s="156" t="s">
        <v>35</v>
      </c>
    </row>
    <row r="36" spans="1:7">
      <c r="A36" s="3" t="s">
        <v>36</v>
      </c>
      <c r="B36" s="3"/>
      <c r="C36" s="3"/>
      <c r="D36" s="3"/>
      <c r="E36" s="3"/>
      <c r="F36" s="3"/>
      <c r="G36" s="3"/>
    </row>
    <row r="37" spans="1:7">
      <c r="A37" s="3" t="s">
        <v>37</v>
      </c>
      <c r="B37" s="3"/>
      <c r="C37" s="3"/>
      <c r="D37" s="3"/>
      <c r="E37" s="3"/>
      <c r="F37" s="3"/>
      <c r="G37" s="3"/>
    </row>
    <row r="38" spans="1:7">
      <c r="A38" s="3" t="s">
        <v>38</v>
      </c>
      <c r="B38" s="3"/>
      <c r="C38" s="3"/>
      <c r="D38" s="3"/>
      <c r="E38" s="3"/>
      <c r="F38" s="3"/>
      <c r="G38" s="3"/>
    </row>
    <row r="39" spans="1:7">
      <c r="A39" s="3"/>
      <c r="B39" s="3"/>
      <c r="C39" s="3"/>
      <c r="D39" s="3"/>
      <c r="E39" s="3"/>
      <c r="F39" s="3"/>
      <c r="G39" s="3"/>
    </row>
    <row r="40" spans="1:7">
      <c r="A40" s="3" t="s">
        <v>39</v>
      </c>
      <c r="B40" s="3"/>
      <c r="C40" s="3"/>
      <c r="D40" s="3"/>
      <c r="E40" s="3"/>
      <c r="F40" s="3"/>
      <c r="G40" s="3"/>
    </row>
    <row r="41" spans="1:7">
      <c r="A41" s="189" t="s">
        <v>40</v>
      </c>
      <c r="B41" s="3"/>
      <c r="C41" s="189"/>
      <c r="D41" s="3"/>
      <c r="E41" s="3"/>
      <c r="F41" s="3"/>
    </row>
    <row r="42" spans="1:7">
      <c r="A42" s="189" t="s">
        <v>41</v>
      </c>
      <c r="B42" s="3"/>
      <c r="C42" s="189"/>
      <c r="D42" s="3"/>
      <c r="E42" s="3"/>
      <c r="F42" s="3"/>
    </row>
    <row r="43" spans="1:7">
      <c r="A43" s="3" t="s">
        <v>42</v>
      </c>
      <c r="B43" s="3"/>
      <c r="C43" s="189"/>
      <c r="D43" s="3"/>
      <c r="E43" s="3"/>
      <c r="F43" s="3"/>
    </row>
    <row r="45" spans="1:7">
      <c r="A45" t="s">
        <v>43</v>
      </c>
    </row>
  </sheetData>
  <pageMargins left="0.2" right="0.21" top="0.57999999999999996" bottom="0.49" header="0.3" footer="0.17"/>
  <pageSetup scale="85" orientation="landscape" r:id="rId1"/>
  <headerFooter>
    <oddHeader>&amp;L&amp;"Arial,Regular"Refinitiv&amp;C&amp;"Arial,Regular"DIST Reverse Mapping &amp;A&amp;R&amp;"Arial,Regular"New Installations - Conversions</oddHeader>
    <oddFooter>&amp;L&amp;8Confidential&amp;C&amp;8&amp;D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zoomScaleNormal="100" workbookViewId="0">
      <selection activeCell="A2" sqref="A2:D9"/>
    </sheetView>
  </sheetViews>
  <sheetFormatPr defaultColWidth="8.28515625" defaultRowHeight="15"/>
  <cols>
    <col min="1" max="1" width="8.5703125" customWidth="1"/>
    <col min="2" max="2" width="9.7109375" customWidth="1"/>
    <col min="3" max="3" width="5.42578125" customWidth="1"/>
    <col min="4" max="4" width="109" customWidth="1"/>
    <col min="5" max="252" width="9.140625" customWidth="1"/>
    <col min="253" max="253" width="7.85546875" bestFit="1" customWidth="1"/>
    <col min="254" max="254" width="4.42578125" bestFit="1" customWidth="1"/>
    <col min="255" max="255" width="47.42578125" customWidth="1"/>
  </cols>
  <sheetData>
    <row r="1" spans="1:4" ht="30">
      <c r="A1" s="33" t="s">
        <v>44</v>
      </c>
      <c r="B1" s="34" t="s">
        <v>45</v>
      </c>
      <c r="C1" s="33" t="s">
        <v>46</v>
      </c>
      <c r="D1" s="33" t="s">
        <v>47</v>
      </c>
    </row>
    <row r="2" spans="1:4">
      <c r="A2" s="496">
        <v>45811</v>
      </c>
      <c r="B2" s="497">
        <v>118139</v>
      </c>
      <c r="C2" s="497" t="s">
        <v>973</v>
      </c>
      <c r="D2" s="497" t="s">
        <v>974</v>
      </c>
    </row>
    <row r="3" spans="1:4">
      <c r="A3" s="496"/>
      <c r="B3" s="498"/>
      <c r="C3" s="497"/>
      <c r="D3" s="498"/>
    </row>
    <row r="4" spans="1:4">
      <c r="A4" s="499"/>
      <c r="B4" s="498"/>
      <c r="C4" s="169"/>
      <c r="D4" s="498"/>
    </row>
    <row r="5" spans="1:4">
      <c r="A5" s="496"/>
      <c r="B5" s="498"/>
      <c r="C5" s="497"/>
      <c r="D5" s="498"/>
    </row>
    <row r="6" spans="1:4">
      <c r="A6" s="496"/>
      <c r="B6" s="498"/>
      <c r="C6" s="497"/>
      <c r="D6" s="498"/>
    </row>
    <row r="7" spans="1:4">
      <c r="A7" s="499"/>
      <c r="B7" s="498"/>
      <c r="C7" s="169"/>
      <c r="D7" s="498"/>
    </row>
    <row r="8" spans="1:4">
      <c r="A8" s="499"/>
      <c r="B8" s="498"/>
      <c r="C8" s="169"/>
      <c r="D8" s="498"/>
    </row>
    <row r="9" spans="1:4">
      <c r="A9" s="496"/>
      <c r="B9" s="498"/>
      <c r="C9" s="497"/>
      <c r="D9" s="498"/>
    </row>
    <row r="10" spans="1:4">
      <c r="A10" s="35"/>
      <c r="B10" s="36"/>
      <c r="C10" s="3"/>
      <c r="D10" s="36"/>
    </row>
    <row r="11" spans="1:4">
      <c r="A11" s="35"/>
      <c r="B11" s="36"/>
      <c r="C11" s="3"/>
      <c r="D11" s="36"/>
    </row>
    <row r="12" spans="1:4">
      <c r="A12" s="35"/>
      <c r="B12" s="36"/>
      <c r="C12" s="3"/>
      <c r="D12" s="36"/>
    </row>
    <row r="13" spans="1:4">
      <c r="A13" s="37"/>
    </row>
  </sheetData>
  <printOptions gridLines="1"/>
  <pageMargins left="0.25" right="0.25" top="0.7" bottom="0.5" header="0.3" footer="0.17"/>
  <pageSetup orientation="landscape" r:id="rId1"/>
  <headerFooter>
    <oddHeader>&amp;L&amp;"Arial,Regular"Refinitiv&amp;C&amp;"Arial,Regular"DIST Reverse Mapping &amp;A&amp;R&amp;"Arial,Regular"New Installations-Conversions</oddHeader>
    <oddFooter>&amp;L&amp;8Confidential&amp;C&amp;8&amp;D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51"/>
  <sheetViews>
    <sheetView topLeftCell="A13" zoomScaleNormal="100" workbookViewId="0"/>
  </sheetViews>
  <sheetFormatPr defaultRowHeight="15"/>
  <cols>
    <col min="1" max="1" width="8.42578125" customWidth="1"/>
    <col min="2" max="2" width="20.85546875" customWidth="1"/>
    <col min="3" max="3" width="9.85546875" customWidth="1"/>
    <col min="4" max="4" width="42" customWidth="1"/>
    <col min="6" max="6" width="27.28515625" bestFit="1" customWidth="1"/>
    <col min="7" max="11" width="9.140625" style="375"/>
  </cols>
  <sheetData>
    <row r="1" spans="1:20" ht="33.75" customHeight="1">
      <c r="A1" s="456" t="s">
        <v>866</v>
      </c>
      <c r="B1" s="500" t="s">
        <v>951</v>
      </c>
      <c r="C1" s="501"/>
      <c r="D1" s="501"/>
      <c r="E1" s="501"/>
      <c r="F1" s="502"/>
      <c r="I1" s="375">
        <v>4611</v>
      </c>
      <c r="K1" s="375">
        <v>8273</v>
      </c>
    </row>
    <row r="2" spans="1:20" ht="36">
      <c r="A2" s="169"/>
      <c r="B2" s="330" t="s">
        <v>48</v>
      </c>
      <c r="C2" s="136" t="s">
        <v>49</v>
      </c>
      <c r="D2" s="136" t="s">
        <v>50</v>
      </c>
      <c r="E2" s="136" t="s">
        <v>867</v>
      </c>
      <c r="F2" s="136" t="s">
        <v>51</v>
      </c>
      <c r="G2" s="458"/>
      <c r="H2" s="458"/>
      <c r="K2" s="375" t="s">
        <v>952</v>
      </c>
    </row>
    <row r="3" spans="1:20">
      <c r="A3" s="169"/>
      <c r="B3" s="331" t="s">
        <v>52</v>
      </c>
      <c r="C3" s="86" t="s">
        <v>53</v>
      </c>
      <c r="D3" s="86" t="s">
        <v>53</v>
      </c>
      <c r="E3" s="86" t="s">
        <v>54</v>
      </c>
      <c r="F3" s="86" t="s">
        <v>55</v>
      </c>
      <c r="G3" s="458">
        <v>1628</v>
      </c>
      <c r="H3" s="458"/>
    </row>
    <row r="4" spans="1:20" ht="24.75">
      <c r="A4" s="169"/>
      <c r="B4" s="331" t="s">
        <v>56</v>
      </c>
      <c r="C4" s="86" t="s">
        <v>53</v>
      </c>
      <c r="D4" s="86" t="s">
        <v>53</v>
      </c>
      <c r="E4" s="86" t="s">
        <v>54</v>
      </c>
      <c r="F4" s="209" t="s">
        <v>57</v>
      </c>
      <c r="G4" s="375">
        <v>1157</v>
      </c>
    </row>
    <row r="5" spans="1:20">
      <c r="A5" s="169"/>
      <c r="B5" s="331" t="s">
        <v>58</v>
      </c>
      <c r="C5" s="86" t="s">
        <v>53</v>
      </c>
      <c r="D5" s="86" t="s">
        <v>53</v>
      </c>
      <c r="E5" s="86" t="s">
        <v>54</v>
      </c>
      <c r="F5" s="210" t="s">
        <v>59</v>
      </c>
      <c r="G5" s="375">
        <v>2226</v>
      </c>
    </row>
    <row r="6" spans="1:20">
      <c r="A6" s="169"/>
      <c r="B6" s="331" t="s">
        <v>60</v>
      </c>
      <c r="C6" s="86" t="s">
        <v>53</v>
      </c>
      <c r="D6" s="86" t="s">
        <v>53</v>
      </c>
      <c r="E6" s="86" t="s">
        <v>54</v>
      </c>
      <c r="F6" s="210" t="s">
        <v>61</v>
      </c>
      <c r="G6" s="375">
        <v>2817</v>
      </c>
    </row>
    <row r="7" spans="1:20" ht="24.75">
      <c r="A7" s="169"/>
      <c r="B7" s="331" t="s">
        <v>62</v>
      </c>
      <c r="C7" s="86" t="s">
        <v>54</v>
      </c>
      <c r="D7" s="86" t="s">
        <v>54</v>
      </c>
      <c r="E7" s="86" t="s">
        <v>54</v>
      </c>
      <c r="F7" s="210" t="s">
        <v>63</v>
      </c>
      <c r="G7" s="375">
        <v>0</v>
      </c>
    </row>
    <row r="8" spans="1:20">
      <c r="A8" s="169"/>
      <c r="B8" s="331" t="s">
        <v>64</v>
      </c>
      <c r="C8" s="86" t="s">
        <v>54</v>
      </c>
      <c r="D8" s="86" t="s">
        <v>54</v>
      </c>
      <c r="E8" s="86" t="s">
        <v>54</v>
      </c>
      <c r="F8" s="210" t="s">
        <v>65</v>
      </c>
      <c r="G8" s="375">
        <v>15</v>
      </c>
    </row>
    <row r="9" spans="1:20">
      <c r="A9" s="169"/>
      <c r="B9" s="459" t="s">
        <v>104</v>
      </c>
      <c r="C9" s="460" t="s">
        <v>53</v>
      </c>
      <c r="D9" s="460" t="s">
        <v>53</v>
      </c>
      <c r="E9" s="460" t="s">
        <v>54</v>
      </c>
      <c r="F9" s="461" t="s">
        <v>868</v>
      </c>
      <c r="H9" s="375">
        <v>16</v>
      </c>
    </row>
    <row r="10" spans="1:20" ht="24">
      <c r="A10" s="169"/>
      <c r="B10" s="330" t="s">
        <v>66</v>
      </c>
      <c r="C10" s="108"/>
      <c r="D10" s="108"/>
      <c r="E10" s="108"/>
      <c r="F10" s="108" t="s">
        <v>67</v>
      </c>
      <c r="N10" s="116"/>
      <c r="P10" s="116"/>
      <c r="T10" s="116"/>
    </row>
    <row r="11" spans="1:20">
      <c r="A11" s="169"/>
      <c r="B11" s="332" t="s">
        <v>68</v>
      </c>
      <c r="C11" s="86" t="s">
        <v>53</v>
      </c>
      <c r="D11" s="86" t="s">
        <v>53</v>
      </c>
      <c r="E11" s="86"/>
      <c r="F11" s="86" t="s">
        <v>69</v>
      </c>
      <c r="G11" s="375">
        <v>4440</v>
      </c>
    </row>
    <row r="12" spans="1:20">
      <c r="A12" s="169"/>
      <c r="B12" s="332" t="s">
        <v>54</v>
      </c>
      <c r="C12" s="86" t="s">
        <v>53</v>
      </c>
      <c r="D12" s="86" t="s">
        <v>53</v>
      </c>
      <c r="E12" s="86"/>
      <c r="F12" s="86" t="s">
        <v>70</v>
      </c>
      <c r="G12" s="375">
        <v>231</v>
      </c>
    </row>
    <row r="13" spans="1:20" ht="24">
      <c r="A13" s="169"/>
      <c r="B13" s="330" t="s">
        <v>71</v>
      </c>
      <c r="C13" s="108"/>
      <c r="D13" s="108"/>
      <c r="E13" s="108"/>
      <c r="F13" s="108" t="s">
        <v>72</v>
      </c>
      <c r="N13" s="116"/>
      <c r="P13" s="116"/>
      <c r="T13" s="116"/>
    </row>
    <row r="14" spans="1:20">
      <c r="A14" s="169"/>
      <c r="B14" s="332" t="s">
        <v>73</v>
      </c>
      <c r="C14" s="86" t="s">
        <v>53</v>
      </c>
      <c r="D14" s="86" t="s">
        <v>53</v>
      </c>
      <c r="E14" s="86"/>
      <c r="F14" s="86" t="s">
        <v>74</v>
      </c>
      <c r="G14" s="375">
        <v>5186</v>
      </c>
    </row>
    <row r="15" spans="1:20">
      <c r="A15" s="169"/>
      <c r="B15" s="332" t="s">
        <v>54</v>
      </c>
      <c r="C15" s="86" t="s">
        <v>53</v>
      </c>
      <c r="D15" s="86" t="s">
        <v>53</v>
      </c>
      <c r="E15" s="86"/>
      <c r="F15" s="86" t="s">
        <v>55</v>
      </c>
      <c r="G15" s="375">
        <v>2994</v>
      </c>
    </row>
    <row r="16" spans="1:20">
      <c r="A16" s="169"/>
      <c r="B16" s="333" t="s">
        <v>52</v>
      </c>
      <c r="C16" s="334" t="s">
        <v>53</v>
      </c>
      <c r="D16" s="334" t="s">
        <v>53</v>
      </c>
      <c r="E16" s="334"/>
      <c r="F16" s="334" t="s">
        <v>823</v>
      </c>
      <c r="G16" s="375">
        <v>87</v>
      </c>
    </row>
    <row r="17" spans="1:7">
      <c r="A17" s="169"/>
      <c r="B17" s="462" t="s">
        <v>60</v>
      </c>
      <c r="C17" s="463" t="s">
        <v>54</v>
      </c>
      <c r="D17" s="463" t="s">
        <v>54</v>
      </c>
      <c r="E17" s="463"/>
      <c r="F17" s="463" t="s">
        <v>75</v>
      </c>
    </row>
    <row r="18" spans="1:7">
      <c r="A18" s="169"/>
      <c r="B18" s="464" t="s">
        <v>76</v>
      </c>
      <c r="C18" s="465" t="s">
        <v>54</v>
      </c>
      <c r="D18" s="465" t="s">
        <v>54</v>
      </c>
      <c r="E18" s="466"/>
      <c r="F18" s="465" t="s">
        <v>77</v>
      </c>
    </row>
    <row r="19" spans="1:7" ht="24">
      <c r="A19" s="169"/>
      <c r="B19" s="330" t="s">
        <v>78</v>
      </c>
      <c r="C19" s="108"/>
      <c r="D19" s="108"/>
      <c r="E19" s="108"/>
      <c r="F19" s="180" t="s">
        <v>79</v>
      </c>
    </row>
    <row r="20" spans="1:7">
      <c r="A20" s="169"/>
      <c r="B20" s="335" t="s">
        <v>62</v>
      </c>
      <c r="C20" s="86" t="s">
        <v>54</v>
      </c>
      <c r="D20" s="86" t="s">
        <v>53</v>
      </c>
      <c r="E20" s="86"/>
      <c r="F20" s="181" t="s">
        <v>80</v>
      </c>
      <c r="G20" s="375">
        <v>135</v>
      </c>
    </row>
    <row r="21" spans="1:7">
      <c r="A21" s="336"/>
      <c r="B21" s="335" t="s">
        <v>81</v>
      </c>
      <c r="C21" s="86" t="s">
        <v>53</v>
      </c>
      <c r="D21" s="86" t="s">
        <v>869</v>
      </c>
      <c r="E21" s="86"/>
      <c r="F21" s="181" t="s">
        <v>82</v>
      </c>
      <c r="G21" s="375">
        <v>5303</v>
      </c>
    </row>
    <row r="22" spans="1:7">
      <c r="A22" s="169"/>
      <c r="B22" s="335" t="s">
        <v>83</v>
      </c>
      <c r="C22" s="86" t="s">
        <v>53</v>
      </c>
      <c r="D22" s="86" t="s">
        <v>54</v>
      </c>
      <c r="E22" s="86"/>
      <c r="F22" s="181" t="s">
        <v>84</v>
      </c>
      <c r="G22" s="375">
        <v>592</v>
      </c>
    </row>
    <row r="23" spans="1:7">
      <c r="A23" s="169"/>
      <c r="B23" s="335" t="s">
        <v>85</v>
      </c>
      <c r="C23" s="86" t="s">
        <v>53</v>
      </c>
      <c r="D23" s="86" t="s">
        <v>54</v>
      </c>
      <c r="E23" s="86"/>
      <c r="F23" s="181" t="s">
        <v>86</v>
      </c>
      <c r="G23" s="375">
        <v>2228</v>
      </c>
    </row>
    <row r="24" spans="1:7">
      <c r="A24" s="169"/>
      <c r="B24" s="333" t="s">
        <v>68</v>
      </c>
      <c r="C24" s="86" t="s">
        <v>54</v>
      </c>
      <c r="D24" s="86" t="s">
        <v>54</v>
      </c>
      <c r="E24" s="86"/>
      <c r="F24" s="86" t="s">
        <v>87</v>
      </c>
      <c r="G24" s="375">
        <v>12</v>
      </c>
    </row>
    <row r="25" spans="1:7" ht="24">
      <c r="A25" s="169"/>
      <c r="B25" s="330" t="s">
        <v>88</v>
      </c>
      <c r="C25" s="108"/>
      <c r="D25" s="108"/>
      <c r="E25" s="108"/>
      <c r="F25" s="180" t="s">
        <v>89</v>
      </c>
    </row>
    <row r="26" spans="1:7">
      <c r="A26" s="169"/>
      <c r="B26" s="332" t="s">
        <v>90</v>
      </c>
      <c r="C26" s="125" t="s">
        <v>53</v>
      </c>
      <c r="D26" s="125" t="s">
        <v>53</v>
      </c>
      <c r="E26" s="125"/>
      <c r="F26" s="125" t="s">
        <v>91</v>
      </c>
      <c r="G26" s="375">
        <v>123</v>
      </c>
    </row>
    <row r="27" spans="1:7">
      <c r="A27" s="169"/>
      <c r="B27" s="332" t="s">
        <v>92</v>
      </c>
      <c r="C27" s="125" t="s">
        <v>53</v>
      </c>
      <c r="D27" s="125" t="s">
        <v>53</v>
      </c>
      <c r="E27" s="125"/>
      <c r="F27" s="125" t="s">
        <v>953</v>
      </c>
      <c r="G27" s="375">
        <v>1</v>
      </c>
    </row>
    <row r="28" spans="1:7">
      <c r="A28" s="169"/>
      <c r="B28" s="332" t="s">
        <v>93</v>
      </c>
      <c r="C28" s="125" t="s">
        <v>53</v>
      </c>
      <c r="D28" s="125" t="s">
        <v>53</v>
      </c>
      <c r="E28" s="125"/>
      <c r="F28" s="125" t="s">
        <v>94</v>
      </c>
      <c r="G28" s="375">
        <v>131</v>
      </c>
    </row>
    <row r="29" spans="1:7">
      <c r="A29" s="169"/>
      <c r="B29" s="332" t="s">
        <v>589</v>
      </c>
      <c r="C29" s="125" t="s">
        <v>53</v>
      </c>
      <c r="D29" s="125" t="s">
        <v>53</v>
      </c>
      <c r="E29" s="125"/>
      <c r="F29" s="125" t="s">
        <v>870</v>
      </c>
      <c r="G29" s="375">
        <v>27</v>
      </c>
    </row>
    <row r="30" spans="1:7">
      <c r="A30" s="169"/>
      <c r="B30" s="332" t="s">
        <v>95</v>
      </c>
      <c r="C30" s="125" t="s">
        <v>53</v>
      </c>
      <c r="D30" s="125" t="s">
        <v>53</v>
      </c>
      <c r="E30" s="125"/>
      <c r="F30" s="125" t="s">
        <v>954</v>
      </c>
      <c r="G30" s="375">
        <v>2</v>
      </c>
    </row>
    <row r="31" spans="1:7">
      <c r="A31" s="169"/>
      <c r="B31" s="332" t="s">
        <v>96</v>
      </c>
      <c r="C31" s="125" t="s">
        <v>53</v>
      </c>
      <c r="D31" s="125" t="s">
        <v>53</v>
      </c>
      <c r="E31" s="125"/>
      <c r="F31" s="125" t="s">
        <v>955</v>
      </c>
      <c r="G31" s="375">
        <v>939</v>
      </c>
    </row>
    <row r="32" spans="1:7">
      <c r="A32" s="169"/>
      <c r="B32" s="332" t="s">
        <v>97</v>
      </c>
      <c r="C32" s="125" t="s">
        <v>53</v>
      </c>
      <c r="D32" s="125" t="s">
        <v>53</v>
      </c>
      <c r="E32" s="125"/>
      <c r="F32" s="125" t="s">
        <v>956</v>
      </c>
      <c r="G32" s="375">
        <v>4285</v>
      </c>
    </row>
    <row r="33" spans="1:7">
      <c r="A33" s="169"/>
      <c r="B33" s="332" t="s">
        <v>98</v>
      </c>
      <c r="C33" s="125" t="s">
        <v>53</v>
      </c>
      <c r="D33" s="125" t="s">
        <v>53</v>
      </c>
      <c r="E33" s="125"/>
      <c r="F33" s="125" t="s">
        <v>957</v>
      </c>
      <c r="G33" s="375">
        <v>38</v>
      </c>
    </row>
    <row r="34" spans="1:7">
      <c r="A34" s="169"/>
      <c r="B34" s="332" t="s">
        <v>99</v>
      </c>
      <c r="C34" s="125" t="s">
        <v>53</v>
      </c>
      <c r="D34" s="125" t="s">
        <v>53</v>
      </c>
      <c r="E34" s="125"/>
      <c r="F34" s="125" t="s">
        <v>100</v>
      </c>
      <c r="G34" s="375">
        <v>2722</v>
      </c>
    </row>
    <row r="35" spans="1:7">
      <c r="A35" s="169"/>
      <c r="B35" s="332" t="s">
        <v>871</v>
      </c>
      <c r="C35" s="125" t="s">
        <v>54</v>
      </c>
      <c r="D35" s="125" t="s">
        <v>54</v>
      </c>
      <c r="E35" s="125"/>
      <c r="F35" s="32" t="s">
        <v>872</v>
      </c>
      <c r="G35" s="375">
        <v>2</v>
      </c>
    </row>
    <row r="36" spans="1:7" ht="36">
      <c r="A36" s="169"/>
      <c r="B36" s="330" t="s">
        <v>101</v>
      </c>
      <c r="C36" s="108"/>
      <c r="D36" s="108"/>
      <c r="E36" s="108"/>
      <c r="F36" s="180" t="s">
        <v>102</v>
      </c>
    </row>
    <row r="37" spans="1:7">
      <c r="A37" s="169"/>
      <c r="B37" s="335" t="s">
        <v>68</v>
      </c>
      <c r="C37" s="86" t="s">
        <v>53</v>
      </c>
      <c r="D37" s="86" t="s">
        <v>53</v>
      </c>
      <c r="E37" s="86"/>
      <c r="F37" s="86" t="s">
        <v>103</v>
      </c>
    </row>
    <row r="38" spans="1:7">
      <c r="A38" s="169"/>
      <c r="B38" s="335" t="s">
        <v>104</v>
      </c>
      <c r="C38" s="86" t="s">
        <v>53</v>
      </c>
      <c r="D38" s="86" t="s">
        <v>53</v>
      </c>
      <c r="E38" s="86"/>
      <c r="F38" s="86" t="s">
        <v>105</v>
      </c>
    </row>
    <row r="39" spans="1:7">
      <c r="A39" s="169"/>
      <c r="B39" s="335" t="s">
        <v>62</v>
      </c>
      <c r="C39" s="86" t="s">
        <v>53</v>
      </c>
      <c r="D39" s="86" t="s">
        <v>53</v>
      </c>
      <c r="E39" s="86"/>
      <c r="F39" s="86" t="s">
        <v>106</v>
      </c>
    </row>
    <row r="40" spans="1:7">
      <c r="A40" s="169"/>
      <c r="B40" s="335" t="s">
        <v>56</v>
      </c>
      <c r="C40" s="86" t="s">
        <v>53</v>
      </c>
      <c r="D40" s="86" t="s">
        <v>53</v>
      </c>
      <c r="E40" s="86"/>
      <c r="F40" s="86" t="s">
        <v>107</v>
      </c>
    </row>
    <row r="41" spans="1:7">
      <c r="A41" s="169"/>
      <c r="B41" s="335" t="s">
        <v>83</v>
      </c>
      <c r="C41" s="338" t="s">
        <v>54</v>
      </c>
      <c r="D41" s="338" t="s">
        <v>54</v>
      </c>
      <c r="E41" s="338"/>
      <c r="F41" s="338" t="s">
        <v>873</v>
      </c>
    </row>
    <row r="42" spans="1:7">
      <c r="A42" s="169"/>
      <c r="B42" s="335" t="s">
        <v>85</v>
      </c>
      <c r="C42" s="338" t="s">
        <v>53</v>
      </c>
      <c r="D42" s="338" t="s">
        <v>53</v>
      </c>
      <c r="E42" s="338"/>
      <c r="F42" s="338" t="s">
        <v>824</v>
      </c>
    </row>
    <row r="43" spans="1:7">
      <c r="A43" s="169"/>
      <c r="B43" s="335" t="s">
        <v>64</v>
      </c>
      <c r="C43" s="338" t="s">
        <v>53</v>
      </c>
      <c r="D43" s="338" t="s">
        <v>53</v>
      </c>
      <c r="E43" s="338" t="s">
        <v>2</v>
      </c>
      <c r="F43" s="339" t="s">
        <v>874</v>
      </c>
    </row>
    <row r="44" spans="1:7">
      <c r="A44" s="169"/>
      <c r="B44" s="335" t="s">
        <v>73</v>
      </c>
      <c r="C44" s="338" t="s">
        <v>53</v>
      </c>
      <c r="D44" s="338" t="s">
        <v>53</v>
      </c>
      <c r="E44" s="338"/>
      <c r="F44" s="338" t="s">
        <v>875</v>
      </c>
    </row>
    <row r="45" spans="1:7" ht="24">
      <c r="A45" s="169"/>
      <c r="B45" s="330" t="s">
        <v>108</v>
      </c>
      <c r="C45" s="108"/>
      <c r="D45" s="108"/>
      <c r="E45" s="108"/>
      <c r="F45" s="108" t="s">
        <v>109</v>
      </c>
    </row>
    <row r="46" spans="1:7">
      <c r="A46" s="169"/>
      <c r="B46" s="337" t="s">
        <v>110</v>
      </c>
      <c r="C46" s="86" t="s">
        <v>53</v>
      </c>
      <c r="D46" s="86" t="s">
        <v>53</v>
      </c>
      <c r="E46" s="86"/>
      <c r="F46" s="86"/>
    </row>
    <row r="47" spans="1:7" ht="24">
      <c r="A47" s="169"/>
      <c r="B47" s="330" t="s">
        <v>111</v>
      </c>
      <c r="C47" s="108"/>
      <c r="D47" s="108"/>
      <c r="E47" s="108"/>
      <c r="F47" s="140" t="s">
        <v>876</v>
      </c>
    </row>
    <row r="48" spans="1:7" ht="36">
      <c r="A48" s="169"/>
      <c r="B48" s="200" t="s">
        <v>877</v>
      </c>
      <c r="C48" s="125"/>
      <c r="D48" s="125"/>
      <c r="E48" s="125"/>
      <c r="F48" s="120"/>
    </row>
    <row r="51" spans="1:1">
      <c r="A51" s="116" t="s">
        <v>112</v>
      </c>
    </row>
  </sheetData>
  <mergeCells count="1">
    <mergeCell ref="B1:F1"/>
  </mergeCells>
  <pageMargins left="0.7" right="0.7" top="0.75" bottom="0.75" header="0.3" footer="0.3"/>
  <pageSetup paperSize="216" scale="87" orientation="portrait" r:id="rId1"/>
  <headerFooter>
    <oddHeader>&amp;LRefinitiv&amp;CDIST Reverse Mapping &amp;A&amp;RNew Installations - Conversions</oddHeader>
    <oddFooter>&amp;LConfidential&amp;C&amp;D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3"/>
  <sheetViews>
    <sheetView zoomScaleNormal="100" workbookViewId="0">
      <selection activeCell="A42" sqref="A42"/>
    </sheetView>
  </sheetViews>
  <sheetFormatPr defaultColWidth="9.140625" defaultRowHeight="15"/>
  <cols>
    <col min="1" max="1" width="17.42578125" style="68" customWidth="1"/>
    <col min="2" max="2" width="9.140625" style="68"/>
    <col min="3" max="3" width="39.85546875" style="68" customWidth="1"/>
    <col min="4" max="16384" width="9.140625" style="68"/>
  </cols>
  <sheetData>
    <row r="1" spans="1:3">
      <c r="A1" s="67"/>
    </row>
    <row r="2" spans="1:3">
      <c r="A2" s="36"/>
    </row>
    <row r="3" spans="1:3">
      <c r="A3" s="36"/>
    </row>
    <row r="4" spans="1:3">
      <c r="A4" s="67"/>
      <c r="C4" s="69"/>
    </row>
    <row r="5" spans="1:3">
      <c r="A5" s="36"/>
    </row>
    <row r="6" spans="1:3">
      <c r="A6" s="69"/>
    </row>
    <row r="7" spans="1:3">
      <c r="A7" s="69"/>
    </row>
    <row r="8" spans="1:3">
      <c r="A8" s="69"/>
    </row>
    <row r="9" spans="1:3">
      <c r="A9" s="69"/>
    </row>
    <row r="10" spans="1:3">
      <c r="A10" s="36"/>
    </row>
    <row r="11" spans="1:3">
      <c r="A11" s="67"/>
      <c r="B11" s="69"/>
    </row>
    <row r="12" spans="1:3">
      <c r="A12" s="36"/>
    </row>
    <row r="13" spans="1:3">
      <c r="A13" s="36"/>
    </row>
  </sheetData>
  <pageMargins left="0.7" right="0.7" top="0.75" bottom="0.75" header="0.3" footer="0.3"/>
  <pageSetup paperSize="21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A211"/>
  <sheetViews>
    <sheetView zoomScaleNormal="100" workbookViewId="0">
      <pane ySplit="1" topLeftCell="A2" activePane="bottomLeft" state="frozen"/>
      <selection pane="bottomLeft" activeCell="X102" sqref="X102"/>
    </sheetView>
  </sheetViews>
  <sheetFormatPr defaultColWidth="9.140625" defaultRowHeight="12"/>
  <cols>
    <col min="1" max="1" width="3.85546875" style="3" customWidth="1"/>
    <col min="2" max="2" width="8" style="7" customWidth="1"/>
    <col min="3" max="3" width="7.7109375" style="7" customWidth="1"/>
    <col min="4" max="4" width="5.42578125" style="40" customWidth="1"/>
    <col min="5" max="5" width="9.42578125" style="40" customWidth="1"/>
    <col min="6" max="6" width="11.85546875" style="41" customWidth="1"/>
    <col min="7" max="7" width="27.42578125" style="7" customWidth="1"/>
    <col min="8" max="8" width="32.7109375" style="42" customWidth="1"/>
    <col min="9" max="10" width="23.7109375" style="6" customWidth="1"/>
    <col min="11" max="11" width="34.5703125" style="6" customWidth="1"/>
    <col min="12" max="12" width="34.5703125" style="10" customWidth="1"/>
    <col min="13" max="13" width="5.85546875" style="40" customWidth="1"/>
    <col min="14" max="14" width="9.28515625" style="40" customWidth="1"/>
    <col min="15" max="16" width="20.7109375" style="18" customWidth="1"/>
    <col min="17" max="17" width="34.5703125" style="6" customWidth="1"/>
    <col min="18" max="18" width="34.5703125" style="10" customWidth="1"/>
    <col min="19" max="19" width="26.28515625" style="89" customWidth="1"/>
    <col min="20" max="20" width="28.85546875" style="89" customWidth="1"/>
    <col min="21" max="24" width="34.5703125" style="6" customWidth="1"/>
    <col min="25" max="25" width="34.5703125" style="7" customWidth="1"/>
    <col min="26" max="26" width="43.140625" style="79" customWidth="1"/>
    <col min="27" max="27" width="9.140625" style="79"/>
    <col min="28" max="16384" width="9.140625" style="3"/>
  </cols>
  <sheetData>
    <row r="1" spans="1:26" s="64" customFormat="1" ht="36">
      <c r="A1" s="61"/>
      <c r="B1" s="53" t="s">
        <v>113</v>
      </c>
      <c r="C1" s="53" t="s">
        <v>115</v>
      </c>
      <c r="D1" s="62" t="s">
        <v>116</v>
      </c>
      <c r="E1" s="53" t="s">
        <v>117</v>
      </c>
      <c r="F1" s="62" t="s">
        <v>118</v>
      </c>
      <c r="G1" s="53" t="s">
        <v>119</v>
      </c>
      <c r="H1" s="53" t="s">
        <v>120</v>
      </c>
      <c r="I1" s="65" t="s">
        <v>121</v>
      </c>
      <c r="J1" s="53" t="s">
        <v>122</v>
      </c>
      <c r="K1" s="63" t="s">
        <v>123</v>
      </c>
      <c r="L1" s="63" t="s">
        <v>124</v>
      </c>
      <c r="M1" s="53" t="s">
        <v>125</v>
      </c>
      <c r="N1" s="53" t="s">
        <v>127</v>
      </c>
      <c r="O1" s="118" t="s">
        <v>128</v>
      </c>
      <c r="P1" s="118" t="s">
        <v>129</v>
      </c>
      <c r="Q1" s="190" t="s">
        <v>933</v>
      </c>
      <c r="R1" s="190" t="s">
        <v>932</v>
      </c>
      <c r="S1" s="190" t="s">
        <v>853</v>
      </c>
      <c r="T1" s="190" t="s">
        <v>852</v>
      </c>
      <c r="U1" s="65" t="s">
        <v>130</v>
      </c>
      <c r="V1" s="65" t="s">
        <v>131</v>
      </c>
      <c r="W1" s="65" t="s">
        <v>132</v>
      </c>
      <c r="X1" s="65" t="s">
        <v>133</v>
      </c>
      <c r="Y1" s="65" t="s">
        <v>134</v>
      </c>
      <c r="Z1" s="65" t="s">
        <v>135</v>
      </c>
    </row>
    <row r="2" spans="1:26" s="135" customFormat="1">
      <c r="A2" s="157">
        <v>1</v>
      </c>
      <c r="B2" s="131" t="s">
        <v>2</v>
      </c>
      <c r="C2" s="131"/>
      <c r="D2" s="130">
        <v>1</v>
      </c>
      <c r="E2" s="126" t="s">
        <v>136</v>
      </c>
      <c r="F2" s="132"/>
      <c r="G2" s="128" t="s">
        <v>137</v>
      </c>
      <c r="H2" s="128" t="s">
        <v>138</v>
      </c>
      <c r="I2" s="133"/>
      <c r="J2" s="128"/>
      <c r="K2" s="129" t="s">
        <v>139</v>
      </c>
      <c r="L2" s="129" t="s">
        <v>139</v>
      </c>
      <c r="M2" s="128"/>
      <c r="N2" s="128"/>
      <c r="O2" s="134"/>
      <c r="P2" s="134"/>
      <c r="Q2" s="129" t="s">
        <v>139</v>
      </c>
      <c r="R2" s="129" t="s">
        <v>139</v>
      </c>
      <c r="S2" s="129" t="s">
        <v>139</v>
      </c>
      <c r="T2" s="129" t="s">
        <v>139</v>
      </c>
      <c r="U2" s="129" t="s">
        <v>139</v>
      </c>
      <c r="V2" s="128"/>
      <c r="W2" s="128"/>
      <c r="X2" s="129" t="s">
        <v>139</v>
      </c>
      <c r="Y2" s="128"/>
    </row>
    <row r="3" spans="1:26" s="135" customFormat="1">
      <c r="A3" s="157">
        <v>2</v>
      </c>
      <c r="B3" s="131"/>
      <c r="C3" s="131"/>
      <c r="D3" s="130">
        <v>51</v>
      </c>
      <c r="E3" s="127" t="s">
        <v>140</v>
      </c>
      <c r="F3" s="132"/>
      <c r="G3" s="128" t="s">
        <v>141</v>
      </c>
      <c r="H3" s="128" t="s">
        <v>138</v>
      </c>
      <c r="I3" s="133"/>
      <c r="J3" s="195"/>
      <c r="K3" s="129" t="s">
        <v>139</v>
      </c>
      <c r="L3" s="129" t="s">
        <v>139</v>
      </c>
      <c r="M3" s="128"/>
      <c r="N3" s="128"/>
      <c r="O3" s="134"/>
      <c r="P3" s="134"/>
      <c r="Q3" s="129" t="s">
        <v>139</v>
      </c>
      <c r="R3" s="129" t="s">
        <v>139</v>
      </c>
      <c r="S3" s="129" t="s">
        <v>139</v>
      </c>
      <c r="T3" s="129" t="s">
        <v>139</v>
      </c>
      <c r="U3" s="129" t="s">
        <v>139</v>
      </c>
      <c r="V3" s="128"/>
      <c r="W3" s="128"/>
      <c r="X3" s="129" t="s">
        <v>139</v>
      </c>
      <c r="Y3" s="128"/>
    </row>
    <row r="4" spans="1:26" s="135" customFormat="1">
      <c r="A4" s="157">
        <v>3</v>
      </c>
      <c r="B4" s="131"/>
      <c r="C4" s="131"/>
      <c r="D4" s="130">
        <v>101</v>
      </c>
      <c r="E4" s="127" t="s">
        <v>140</v>
      </c>
      <c r="F4" s="132"/>
      <c r="G4" s="128" t="s">
        <v>142</v>
      </c>
      <c r="H4" s="128" t="s">
        <v>138</v>
      </c>
      <c r="I4" s="133"/>
      <c r="J4" s="195"/>
      <c r="K4" s="129" t="s">
        <v>143</v>
      </c>
      <c r="L4" s="129" t="s">
        <v>143</v>
      </c>
      <c r="M4" s="128"/>
      <c r="N4" s="128"/>
      <c r="O4" s="134"/>
      <c r="P4" s="134"/>
      <c r="Q4" s="129" t="s">
        <v>143</v>
      </c>
      <c r="R4" s="129" t="s">
        <v>143</v>
      </c>
      <c r="S4" s="129" t="s">
        <v>143</v>
      </c>
      <c r="T4" s="129" t="s">
        <v>143</v>
      </c>
      <c r="U4" s="129" t="s">
        <v>143</v>
      </c>
      <c r="V4" s="128"/>
      <c r="W4" s="128"/>
      <c r="X4" s="129" t="s">
        <v>143</v>
      </c>
      <c r="Y4" s="128"/>
    </row>
    <row r="5" spans="1:26" s="135" customFormat="1">
      <c r="A5" s="157">
        <v>4</v>
      </c>
      <c r="B5" s="131"/>
      <c r="C5" s="131"/>
      <c r="D5" s="130">
        <v>201</v>
      </c>
      <c r="E5" s="127" t="s">
        <v>140</v>
      </c>
      <c r="F5" s="132"/>
      <c r="G5" s="128" t="s">
        <v>144</v>
      </c>
      <c r="H5" s="128" t="s">
        <v>138</v>
      </c>
      <c r="I5" s="133"/>
      <c r="J5" s="195"/>
      <c r="K5" s="129" t="s">
        <v>143</v>
      </c>
      <c r="L5" s="129" t="s">
        <v>143</v>
      </c>
      <c r="M5" s="128"/>
      <c r="N5" s="128"/>
      <c r="O5" s="134"/>
      <c r="P5" s="134"/>
      <c r="Q5" s="129" t="s">
        <v>143</v>
      </c>
      <c r="R5" s="129" t="s">
        <v>143</v>
      </c>
      <c r="S5" s="129" t="s">
        <v>143</v>
      </c>
      <c r="T5" s="129" t="s">
        <v>143</v>
      </c>
      <c r="U5" s="129" t="s">
        <v>143</v>
      </c>
      <c r="V5" s="128"/>
      <c r="W5" s="128"/>
      <c r="X5" s="129" t="s">
        <v>143</v>
      </c>
      <c r="Y5" s="128"/>
    </row>
    <row r="6" spans="1:26" ht="24">
      <c r="A6" s="157">
        <v>5</v>
      </c>
      <c r="B6" s="38"/>
      <c r="C6" s="38"/>
      <c r="D6" s="32">
        <v>205</v>
      </c>
      <c r="E6" s="32" t="s">
        <v>145</v>
      </c>
      <c r="F6" s="81" t="s">
        <v>146</v>
      </c>
      <c r="G6" s="51" t="s">
        <v>147</v>
      </c>
      <c r="H6" s="51" t="s">
        <v>148</v>
      </c>
      <c r="I6" s="51"/>
      <c r="J6" s="90"/>
      <c r="K6" s="120" t="s">
        <v>149</v>
      </c>
      <c r="L6" s="120" t="s">
        <v>149</v>
      </c>
      <c r="M6" s="32" t="s">
        <v>52</v>
      </c>
      <c r="N6" s="125" t="s">
        <v>150</v>
      </c>
      <c r="O6" s="13"/>
      <c r="P6" s="13"/>
      <c r="Q6" s="120" t="s">
        <v>149</v>
      </c>
      <c r="R6" s="120" t="s">
        <v>149</v>
      </c>
      <c r="S6" s="120" t="s">
        <v>149</v>
      </c>
      <c r="T6" s="120" t="s">
        <v>149</v>
      </c>
      <c r="U6" s="120" t="s">
        <v>151</v>
      </c>
      <c r="V6" s="51"/>
      <c r="W6" s="51"/>
      <c r="X6" s="120" t="s">
        <v>152</v>
      </c>
      <c r="Y6" s="12"/>
    </row>
    <row r="7" spans="1:26" ht="120">
      <c r="A7" s="157">
        <v>6</v>
      </c>
      <c r="B7" s="12"/>
      <c r="C7" s="12"/>
      <c r="D7" s="32">
        <v>214</v>
      </c>
      <c r="E7" s="32" t="s">
        <v>145</v>
      </c>
      <c r="F7" s="81" t="s">
        <v>153</v>
      </c>
      <c r="G7" s="51" t="s">
        <v>154</v>
      </c>
      <c r="H7" s="51" t="s">
        <v>155</v>
      </c>
      <c r="I7" s="51"/>
      <c r="J7" s="90" t="s">
        <v>156</v>
      </c>
      <c r="K7" s="276" t="s">
        <v>632</v>
      </c>
      <c r="L7" s="277" t="s">
        <v>632</v>
      </c>
      <c r="M7" s="32" t="s">
        <v>52</v>
      </c>
      <c r="N7" s="125" t="s">
        <v>150</v>
      </c>
      <c r="O7" s="11"/>
      <c r="P7" s="11"/>
      <c r="Q7" s="276" t="s">
        <v>632</v>
      </c>
      <c r="R7" s="277" t="s">
        <v>632</v>
      </c>
      <c r="S7" s="276" t="s">
        <v>632</v>
      </c>
      <c r="T7" s="277" t="s">
        <v>632</v>
      </c>
      <c r="U7" s="120" t="s">
        <v>157</v>
      </c>
      <c r="V7" s="91"/>
      <c r="W7" s="91"/>
      <c r="X7" s="120" t="s">
        <v>157</v>
      </c>
      <c r="Y7" s="91"/>
    </row>
    <row r="8" spans="1:26" ht="24">
      <c r="A8" s="157">
        <v>7</v>
      </c>
      <c r="B8" s="102"/>
      <c r="C8" s="102"/>
      <c r="D8" s="103">
        <v>223</v>
      </c>
      <c r="E8" s="103" t="s">
        <v>145</v>
      </c>
      <c r="F8" s="104"/>
      <c r="G8" s="106" t="s">
        <v>158</v>
      </c>
      <c r="H8" s="106" t="s">
        <v>159</v>
      </c>
      <c r="I8" s="105"/>
      <c r="J8" s="109"/>
      <c r="K8" s="85" t="s">
        <v>160</v>
      </c>
      <c r="L8" s="85" t="s">
        <v>160</v>
      </c>
      <c r="M8" s="103" t="s">
        <v>161</v>
      </c>
      <c r="N8" s="174"/>
      <c r="O8" s="138"/>
      <c r="P8" s="138"/>
      <c r="Q8" s="85" t="s">
        <v>160</v>
      </c>
      <c r="R8" s="85" t="s">
        <v>160</v>
      </c>
      <c r="S8" s="85" t="s">
        <v>160</v>
      </c>
      <c r="T8" s="85" t="s">
        <v>160</v>
      </c>
      <c r="U8" s="85" t="s">
        <v>160</v>
      </c>
      <c r="V8" s="105"/>
      <c r="W8" s="105"/>
      <c r="X8" s="85" t="s">
        <v>160</v>
      </c>
      <c r="Y8" s="102"/>
    </row>
    <row r="9" spans="1:26" ht="132">
      <c r="A9" s="157">
        <v>8</v>
      </c>
      <c r="B9" s="38"/>
      <c r="C9" s="38"/>
      <c r="D9" s="32">
        <v>232</v>
      </c>
      <c r="E9" s="32" t="s">
        <v>162</v>
      </c>
      <c r="F9" s="81" t="s">
        <v>163</v>
      </c>
      <c r="G9" s="51" t="s">
        <v>164</v>
      </c>
      <c r="H9" s="51" t="s">
        <v>165</v>
      </c>
      <c r="I9" s="51" t="s">
        <v>166</v>
      </c>
      <c r="J9" s="90" t="s">
        <v>167</v>
      </c>
      <c r="K9" s="51" t="s">
        <v>168</v>
      </c>
      <c r="L9" s="51" t="s">
        <v>168</v>
      </c>
      <c r="M9" s="32" t="s">
        <v>52</v>
      </c>
      <c r="N9" s="125" t="s">
        <v>150</v>
      </c>
      <c r="O9" s="13"/>
      <c r="P9" s="13"/>
      <c r="Q9" s="51" t="s">
        <v>168</v>
      </c>
      <c r="R9" s="51" t="s">
        <v>168</v>
      </c>
      <c r="S9" s="51" t="s">
        <v>168</v>
      </c>
      <c r="T9" s="51" t="s">
        <v>168</v>
      </c>
      <c r="U9" s="168" t="s">
        <v>169</v>
      </c>
      <c r="V9" s="51" t="s">
        <v>168</v>
      </c>
      <c r="W9" s="51"/>
      <c r="X9" s="168" t="s">
        <v>169</v>
      </c>
      <c r="Y9" s="51" t="s">
        <v>168</v>
      </c>
    </row>
    <row r="10" spans="1:26" ht="120">
      <c r="A10" s="157">
        <v>9</v>
      </c>
      <c r="B10" s="102"/>
      <c r="C10" s="102"/>
      <c r="D10" s="92">
        <v>237</v>
      </c>
      <c r="E10" s="92" t="s">
        <v>170</v>
      </c>
      <c r="F10" s="104" t="s">
        <v>171</v>
      </c>
      <c r="G10" s="105" t="s">
        <v>172</v>
      </c>
      <c r="H10" s="105" t="s">
        <v>173</v>
      </c>
      <c r="I10" s="119"/>
      <c r="J10" s="109"/>
      <c r="K10" s="85" t="s">
        <v>174</v>
      </c>
      <c r="L10" s="85" t="s">
        <v>174</v>
      </c>
      <c r="M10" s="103" t="s">
        <v>58</v>
      </c>
      <c r="N10" s="174"/>
      <c r="O10" s="96"/>
      <c r="P10" s="96"/>
      <c r="Q10" s="85" t="s">
        <v>174</v>
      </c>
      <c r="R10" s="85" t="s">
        <v>174</v>
      </c>
      <c r="S10" s="85" t="s">
        <v>174</v>
      </c>
      <c r="T10" s="85" t="s">
        <v>174</v>
      </c>
      <c r="U10" s="85" t="s">
        <v>174</v>
      </c>
      <c r="V10" s="105"/>
      <c r="W10" s="105"/>
      <c r="X10" s="85" t="s">
        <v>174</v>
      </c>
      <c r="Y10" s="102"/>
    </row>
    <row r="11" spans="1:26" ht="216">
      <c r="A11" s="157">
        <v>10</v>
      </c>
      <c r="B11" s="38"/>
      <c r="C11" s="38"/>
      <c r="D11" s="32">
        <v>239</v>
      </c>
      <c r="E11" s="32" t="s">
        <v>27</v>
      </c>
      <c r="F11" s="81" t="s">
        <v>175</v>
      </c>
      <c r="G11" s="51" t="s">
        <v>176</v>
      </c>
      <c r="H11" s="51" t="s">
        <v>177</v>
      </c>
      <c r="I11" s="51" t="s">
        <v>178</v>
      </c>
      <c r="J11" s="90"/>
      <c r="K11" s="168" t="s">
        <v>849</v>
      </c>
      <c r="L11" s="168" t="s">
        <v>849</v>
      </c>
      <c r="M11" s="32" t="s">
        <v>52</v>
      </c>
      <c r="N11" s="125" t="s">
        <v>150</v>
      </c>
      <c r="O11" s="13"/>
      <c r="P11" s="13"/>
      <c r="Q11" s="168" t="s">
        <v>849</v>
      </c>
      <c r="R11" s="168" t="s">
        <v>849</v>
      </c>
      <c r="S11" s="325" t="s">
        <v>849</v>
      </c>
      <c r="T11" s="325" t="s">
        <v>849</v>
      </c>
      <c r="U11" s="168" t="s">
        <v>179</v>
      </c>
      <c r="V11" s="120"/>
      <c r="W11" s="120"/>
      <c r="X11" s="168" t="s">
        <v>179</v>
      </c>
      <c r="Y11" s="120"/>
    </row>
    <row r="12" spans="1:26" ht="192">
      <c r="A12" s="157">
        <v>11</v>
      </c>
      <c r="B12" s="12"/>
      <c r="C12" s="12"/>
      <c r="D12" s="32">
        <v>240</v>
      </c>
      <c r="E12" s="32" t="s">
        <v>145</v>
      </c>
      <c r="F12" s="81" t="s">
        <v>180</v>
      </c>
      <c r="G12" s="51" t="s">
        <v>181</v>
      </c>
      <c r="H12" s="51" t="s">
        <v>182</v>
      </c>
      <c r="I12" s="51" t="s">
        <v>178</v>
      </c>
      <c r="J12" s="90" t="s">
        <v>183</v>
      </c>
      <c r="K12" s="168" t="s">
        <v>179</v>
      </c>
      <c r="L12" s="168" t="s">
        <v>179</v>
      </c>
      <c r="M12" s="32" t="s">
        <v>52</v>
      </c>
      <c r="N12" s="125" t="s">
        <v>150</v>
      </c>
      <c r="O12" s="13"/>
      <c r="P12" s="13"/>
      <c r="Q12" s="168" t="s">
        <v>179</v>
      </c>
      <c r="R12" s="168" t="s">
        <v>179</v>
      </c>
      <c r="S12" s="168" t="s">
        <v>179</v>
      </c>
      <c r="T12" s="168" t="s">
        <v>179</v>
      </c>
      <c r="U12" s="168" t="s">
        <v>179</v>
      </c>
      <c r="V12" s="51"/>
      <c r="W12" s="51"/>
      <c r="X12" s="168" t="s">
        <v>179</v>
      </c>
      <c r="Y12" s="12"/>
    </row>
    <row r="13" spans="1:26" ht="72">
      <c r="A13" s="157">
        <v>12</v>
      </c>
      <c r="B13" s="12"/>
      <c r="C13" s="12"/>
      <c r="D13" s="32">
        <v>249</v>
      </c>
      <c r="E13" s="32" t="s">
        <v>145</v>
      </c>
      <c r="F13" s="81" t="s">
        <v>648</v>
      </c>
      <c r="G13" s="51" t="s">
        <v>184</v>
      </c>
      <c r="H13" s="51" t="s">
        <v>185</v>
      </c>
      <c r="I13" s="51" t="s">
        <v>186</v>
      </c>
      <c r="J13" s="90"/>
      <c r="K13" s="91" t="s">
        <v>187</v>
      </c>
      <c r="L13" s="91" t="s">
        <v>187</v>
      </c>
      <c r="M13" s="32" t="s">
        <v>161</v>
      </c>
      <c r="N13" s="125" t="s">
        <v>150</v>
      </c>
      <c r="O13" s="14"/>
      <c r="P13" s="14"/>
      <c r="Q13" s="91" t="s">
        <v>187</v>
      </c>
      <c r="R13" s="91" t="s">
        <v>187</v>
      </c>
      <c r="S13" s="91" t="s">
        <v>187</v>
      </c>
      <c r="T13" s="91" t="s">
        <v>187</v>
      </c>
      <c r="U13" s="91" t="s">
        <v>187</v>
      </c>
      <c r="V13" s="91"/>
      <c r="W13" s="91"/>
      <c r="X13" s="91" t="s">
        <v>187</v>
      </c>
      <c r="Y13" s="12"/>
    </row>
    <row r="14" spans="1:26" ht="48">
      <c r="A14" s="157">
        <v>13</v>
      </c>
      <c r="B14" s="12"/>
      <c r="C14" s="12"/>
      <c r="D14" s="32">
        <v>258</v>
      </c>
      <c r="E14" s="32" t="s">
        <v>188</v>
      </c>
      <c r="F14" s="81" t="s">
        <v>189</v>
      </c>
      <c r="G14" s="51" t="s">
        <v>190</v>
      </c>
      <c r="H14" s="51" t="s">
        <v>191</v>
      </c>
      <c r="I14" s="51" t="s">
        <v>192</v>
      </c>
      <c r="J14" s="90"/>
      <c r="K14" s="51" t="s">
        <v>193</v>
      </c>
      <c r="L14" s="145" t="s">
        <v>160</v>
      </c>
      <c r="M14" s="32" t="s">
        <v>2</v>
      </c>
      <c r="N14" s="125" t="s">
        <v>81</v>
      </c>
      <c r="O14" s="14"/>
      <c r="P14" s="14"/>
      <c r="Q14" s="51" t="s">
        <v>193</v>
      </c>
      <c r="R14" s="145" t="s">
        <v>160</v>
      </c>
      <c r="S14" s="51" t="s">
        <v>193</v>
      </c>
      <c r="T14" s="145" t="s">
        <v>160</v>
      </c>
      <c r="U14" s="51" t="s">
        <v>193</v>
      </c>
      <c r="V14" s="51"/>
      <c r="W14" s="51"/>
      <c r="X14" s="4" t="s">
        <v>160</v>
      </c>
      <c r="Y14" s="12"/>
    </row>
    <row r="15" spans="1:26" ht="132">
      <c r="A15" s="157">
        <v>14</v>
      </c>
      <c r="B15" s="12"/>
      <c r="C15" s="12"/>
      <c r="D15" s="32">
        <v>273</v>
      </c>
      <c r="E15" s="32" t="s">
        <v>27</v>
      </c>
      <c r="F15" s="81" t="s">
        <v>194</v>
      </c>
      <c r="G15" s="51" t="s">
        <v>195</v>
      </c>
      <c r="H15" s="51" t="s">
        <v>196</v>
      </c>
      <c r="I15" s="51" t="s">
        <v>197</v>
      </c>
      <c r="J15" s="90" t="s">
        <v>198</v>
      </c>
      <c r="K15" s="51" t="s">
        <v>199</v>
      </c>
      <c r="L15" s="51" t="s">
        <v>199</v>
      </c>
      <c r="M15" s="32" t="s">
        <v>52</v>
      </c>
      <c r="N15" s="125" t="s">
        <v>150</v>
      </c>
      <c r="O15" s="14"/>
      <c r="P15" s="14"/>
      <c r="Q15" s="51" t="s">
        <v>199</v>
      </c>
      <c r="R15" s="51" t="s">
        <v>199</v>
      </c>
      <c r="S15" s="51" t="s">
        <v>199</v>
      </c>
      <c r="T15" s="51" t="s">
        <v>199</v>
      </c>
      <c r="U15" s="51" t="s">
        <v>199</v>
      </c>
      <c r="V15" s="4" t="s">
        <v>200</v>
      </c>
      <c r="W15" s="4"/>
      <c r="X15" s="51" t="s">
        <v>199</v>
      </c>
      <c r="Y15" s="4" t="s">
        <v>200</v>
      </c>
    </row>
    <row r="16" spans="1:26" ht="190.5" customHeight="1">
      <c r="A16" s="157">
        <v>15</v>
      </c>
      <c r="B16" s="12"/>
      <c r="C16" s="12"/>
      <c r="D16" s="32">
        <v>274</v>
      </c>
      <c r="E16" s="32" t="s">
        <v>201</v>
      </c>
      <c r="F16" s="81" t="s">
        <v>202</v>
      </c>
      <c r="G16" s="51" t="s">
        <v>203</v>
      </c>
      <c r="H16" s="51" t="s">
        <v>204</v>
      </c>
      <c r="I16" s="51" t="s">
        <v>205</v>
      </c>
      <c r="J16" s="438" t="s">
        <v>934</v>
      </c>
      <c r="K16" s="51" t="s">
        <v>206</v>
      </c>
      <c r="L16" s="51" t="s">
        <v>207</v>
      </c>
      <c r="M16" s="32" t="s">
        <v>161</v>
      </c>
      <c r="N16" s="125" t="s">
        <v>150</v>
      </c>
      <c r="O16" s="253"/>
      <c r="P16" s="14"/>
      <c r="Q16" s="51" t="s">
        <v>206</v>
      </c>
      <c r="R16" s="51" t="s">
        <v>207</v>
      </c>
      <c r="S16" s="51" t="s">
        <v>206</v>
      </c>
      <c r="T16" s="51" t="s">
        <v>207</v>
      </c>
      <c r="U16" s="51" t="s">
        <v>206</v>
      </c>
      <c r="V16" s="4"/>
      <c r="W16" s="4"/>
      <c r="X16" s="51" t="s">
        <v>207</v>
      </c>
      <c r="Y16" s="4"/>
    </row>
    <row r="17" spans="1:26" ht="84">
      <c r="A17" s="157">
        <v>16</v>
      </c>
      <c r="B17" s="12"/>
      <c r="C17" s="12"/>
      <c r="D17" s="32">
        <v>281</v>
      </c>
      <c r="E17" s="32" t="s">
        <v>208</v>
      </c>
      <c r="F17" s="81" t="s">
        <v>209</v>
      </c>
      <c r="G17" s="51" t="s">
        <v>210</v>
      </c>
      <c r="H17" s="51" t="s">
        <v>211</v>
      </c>
      <c r="I17" s="51" t="s">
        <v>212</v>
      </c>
      <c r="J17" s="90" t="s">
        <v>213</v>
      </c>
      <c r="K17" s="4" t="s">
        <v>214</v>
      </c>
      <c r="L17" s="4" t="s">
        <v>214</v>
      </c>
      <c r="M17" s="32" t="s">
        <v>161</v>
      </c>
      <c r="N17" s="125" t="s">
        <v>150</v>
      </c>
      <c r="O17" s="14"/>
      <c r="P17" s="14"/>
      <c r="Q17" s="4" t="s">
        <v>214</v>
      </c>
      <c r="R17" s="4" t="s">
        <v>214</v>
      </c>
      <c r="S17" s="4" t="s">
        <v>214</v>
      </c>
      <c r="T17" s="4" t="s">
        <v>214</v>
      </c>
      <c r="U17" s="4" t="s">
        <v>214</v>
      </c>
      <c r="V17" s="51"/>
      <c r="W17" s="51"/>
      <c r="X17" s="4" t="s">
        <v>214</v>
      </c>
      <c r="Y17" s="12"/>
    </row>
    <row r="18" spans="1:26" ht="48">
      <c r="A18" s="157">
        <v>17</v>
      </c>
      <c r="B18" s="102"/>
      <c r="C18" s="102"/>
      <c r="D18" s="103">
        <v>296</v>
      </c>
      <c r="E18" s="103" t="s">
        <v>215</v>
      </c>
      <c r="F18" s="104" t="s">
        <v>216</v>
      </c>
      <c r="G18" s="105" t="s">
        <v>217</v>
      </c>
      <c r="H18" s="105" t="s">
        <v>218</v>
      </c>
      <c r="I18" s="105"/>
      <c r="J18" s="109"/>
      <c r="K18" s="85" t="s">
        <v>160</v>
      </c>
      <c r="L18" s="85" t="s">
        <v>160</v>
      </c>
      <c r="M18" s="103" t="s">
        <v>161</v>
      </c>
      <c r="N18" s="174"/>
      <c r="O18" s="107"/>
      <c r="P18" s="107"/>
      <c r="Q18" s="85" t="s">
        <v>160</v>
      </c>
      <c r="R18" s="85" t="s">
        <v>160</v>
      </c>
      <c r="S18" s="85" t="s">
        <v>160</v>
      </c>
      <c r="T18" s="85" t="s">
        <v>160</v>
      </c>
      <c r="U18" s="85" t="s">
        <v>160</v>
      </c>
      <c r="V18" s="105"/>
      <c r="W18" s="105"/>
      <c r="X18" s="85" t="s">
        <v>160</v>
      </c>
      <c r="Y18" s="102"/>
    </row>
    <row r="19" spans="1:26" ht="132">
      <c r="A19" s="157">
        <v>18</v>
      </c>
      <c r="B19" s="38"/>
      <c r="C19" s="38"/>
      <c r="D19" s="32">
        <v>299</v>
      </c>
      <c r="E19" s="32" t="s">
        <v>27</v>
      </c>
      <c r="F19" s="81" t="s">
        <v>219</v>
      </c>
      <c r="G19" s="51" t="s">
        <v>220</v>
      </c>
      <c r="H19" s="51" t="s">
        <v>221</v>
      </c>
      <c r="I19" s="91" t="s">
        <v>222</v>
      </c>
      <c r="J19" s="90" t="s">
        <v>198</v>
      </c>
      <c r="K19" s="51" t="s">
        <v>223</v>
      </c>
      <c r="L19" s="51" t="s">
        <v>223</v>
      </c>
      <c r="M19" s="32" t="s">
        <v>52</v>
      </c>
      <c r="N19" s="125" t="s">
        <v>150</v>
      </c>
      <c r="O19" s="13"/>
      <c r="P19" s="13"/>
      <c r="Q19" s="51" t="s">
        <v>223</v>
      </c>
      <c r="R19" s="51" t="s">
        <v>223</v>
      </c>
      <c r="S19" s="51" t="s">
        <v>223</v>
      </c>
      <c r="T19" s="51" t="s">
        <v>223</v>
      </c>
      <c r="U19" s="51" t="s">
        <v>223</v>
      </c>
      <c r="V19" s="4" t="s">
        <v>200</v>
      </c>
      <c r="W19" s="4"/>
      <c r="X19" s="51" t="s">
        <v>223</v>
      </c>
      <c r="Y19" s="12" t="s">
        <v>200</v>
      </c>
    </row>
    <row r="20" spans="1:26" ht="48">
      <c r="A20" s="157">
        <v>19</v>
      </c>
      <c r="B20" s="38"/>
      <c r="C20" s="38"/>
      <c r="D20" s="32">
        <v>300</v>
      </c>
      <c r="E20" s="32" t="s">
        <v>201</v>
      </c>
      <c r="F20" s="81" t="s">
        <v>224</v>
      </c>
      <c r="G20" s="51" t="s">
        <v>225</v>
      </c>
      <c r="H20" s="51" t="s">
        <v>226</v>
      </c>
      <c r="I20" s="91" t="s">
        <v>227</v>
      </c>
      <c r="J20" s="90" t="s">
        <v>228</v>
      </c>
      <c r="K20" s="51" t="s">
        <v>229</v>
      </c>
      <c r="L20" s="51" t="s">
        <v>229</v>
      </c>
      <c r="M20" s="32" t="s">
        <v>161</v>
      </c>
      <c r="N20" s="125" t="s">
        <v>150</v>
      </c>
      <c r="O20" s="13"/>
      <c r="P20" s="13"/>
      <c r="Q20" s="51" t="s">
        <v>229</v>
      </c>
      <c r="R20" s="51" t="s">
        <v>229</v>
      </c>
      <c r="S20" s="51" t="s">
        <v>229</v>
      </c>
      <c r="T20" s="51" t="s">
        <v>229</v>
      </c>
      <c r="U20" s="51" t="s">
        <v>229</v>
      </c>
      <c r="V20" s="4"/>
      <c r="W20" s="4"/>
      <c r="X20" s="51" t="s">
        <v>229</v>
      </c>
      <c r="Y20" s="4"/>
    </row>
    <row r="21" spans="1:26" ht="48">
      <c r="A21" s="157">
        <v>20</v>
      </c>
      <c r="C21" s="38"/>
      <c r="D21" s="32">
        <v>307</v>
      </c>
      <c r="E21" s="32" t="s">
        <v>208</v>
      </c>
      <c r="F21" s="81" t="s">
        <v>230</v>
      </c>
      <c r="G21" s="51" t="s">
        <v>231</v>
      </c>
      <c r="H21" s="51" t="s">
        <v>232</v>
      </c>
      <c r="I21" s="51"/>
      <c r="J21" s="90" t="s">
        <v>228</v>
      </c>
      <c r="K21" s="4" t="s">
        <v>160</v>
      </c>
      <c r="L21" s="4" t="s">
        <v>160</v>
      </c>
      <c r="M21" s="32" t="s">
        <v>161</v>
      </c>
      <c r="N21" s="125" t="s">
        <v>150</v>
      </c>
      <c r="O21" s="13"/>
      <c r="P21" s="13"/>
      <c r="Q21" s="4" t="s">
        <v>160</v>
      </c>
      <c r="R21" s="4" t="s">
        <v>160</v>
      </c>
      <c r="S21" s="4" t="s">
        <v>160</v>
      </c>
      <c r="T21" s="4" t="s">
        <v>160</v>
      </c>
      <c r="U21" s="4" t="s">
        <v>160</v>
      </c>
      <c r="V21" s="51"/>
      <c r="W21" s="51"/>
      <c r="X21" s="4" t="s">
        <v>160</v>
      </c>
      <c r="Y21" s="12"/>
    </row>
    <row r="22" spans="1:26" ht="60">
      <c r="A22" s="157">
        <v>21</v>
      </c>
      <c r="B22" s="101"/>
      <c r="C22" s="101"/>
      <c r="D22" s="103">
        <v>322</v>
      </c>
      <c r="E22" s="103">
        <v>9</v>
      </c>
      <c r="F22" s="93" t="s">
        <v>233</v>
      </c>
      <c r="G22" s="105" t="s">
        <v>234</v>
      </c>
      <c r="H22" s="105" t="s">
        <v>235</v>
      </c>
      <c r="I22" s="99"/>
      <c r="J22" s="94"/>
      <c r="K22" s="112" t="s">
        <v>174</v>
      </c>
      <c r="L22" s="95" t="s">
        <v>174</v>
      </c>
      <c r="M22" s="103" t="s">
        <v>58</v>
      </c>
      <c r="N22" s="175"/>
      <c r="O22" s="96"/>
      <c r="P22" s="96"/>
      <c r="Q22" s="112" t="s">
        <v>174</v>
      </c>
      <c r="R22" s="95" t="s">
        <v>174</v>
      </c>
      <c r="S22" s="112" t="s">
        <v>174</v>
      </c>
      <c r="T22" s="95" t="s">
        <v>174</v>
      </c>
      <c r="U22" s="99" t="s">
        <v>174</v>
      </c>
      <c r="V22" s="99"/>
      <c r="W22" s="99"/>
      <c r="X22" s="99" t="s">
        <v>174</v>
      </c>
      <c r="Y22" s="100"/>
    </row>
    <row r="23" spans="1:26" ht="132">
      <c r="A23" s="157">
        <v>22</v>
      </c>
      <c r="B23" s="75"/>
      <c r="C23" s="75"/>
      <c r="D23" s="32">
        <v>323</v>
      </c>
      <c r="E23" s="32" t="s">
        <v>236</v>
      </c>
      <c r="F23" s="71" t="s">
        <v>237</v>
      </c>
      <c r="G23" s="51" t="s">
        <v>238</v>
      </c>
      <c r="H23" s="51" t="s">
        <v>239</v>
      </c>
      <c r="I23" s="76" t="s">
        <v>240</v>
      </c>
      <c r="J23" s="196"/>
      <c r="K23" s="14" t="s">
        <v>241</v>
      </c>
      <c r="L23" s="451" t="s">
        <v>939</v>
      </c>
      <c r="M23" s="32" t="s">
        <v>161</v>
      </c>
      <c r="N23" s="176" t="s">
        <v>150</v>
      </c>
      <c r="O23" s="74"/>
      <c r="P23" s="74"/>
      <c r="Q23" s="14" t="s">
        <v>241</v>
      </c>
      <c r="R23" s="427" t="s">
        <v>919</v>
      </c>
      <c r="S23" s="14" t="s">
        <v>241</v>
      </c>
      <c r="T23" s="14" t="s">
        <v>242</v>
      </c>
      <c r="U23" s="14" t="s">
        <v>241</v>
      </c>
      <c r="V23" s="75"/>
      <c r="W23" s="75"/>
      <c r="X23" s="14" t="s">
        <v>242</v>
      </c>
      <c r="Y23" s="14" t="s">
        <v>939</v>
      </c>
    </row>
    <row r="24" spans="1:26" ht="154.5" customHeight="1">
      <c r="A24" s="157">
        <v>23</v>
      </c>
      <c r="B24" s="70"/>
      <c r="C24" s="70"/>
      <c r="D24" s="32">
        <v>353</v>
      </c>
      <c r="E24" s="32" t="s">
        <v>236</v>
      </c>
      <c r="F24" s="71" t="s">
        <v>237</v>
      </c>
      <c r="G24" s="51" t="s">
        <v>243</v>
      </c>
      <c r="H24" s="51" t="s">
        <v>239</v>
      </c>
      <c r="I24" s="73" t="s">
        <v>244</v>
      </c>
      <c r="J24" s="197"/>
      <c r="K24" s="14" t="s">
        <v>245</v>
      </c>
      <c r="L24" s="451" t="s">
        <v>940</v>
      </c>
      <c r="M24" s="32" t="s">
        <v>161</v>
      </c>
      <c r="N24" s="176" t="s">
        <v>150</v>
      </c>
      <c r="O24" s="74"/>
      <c r="P24" s="74"/>
      <c r="Q24" s="14" t="s">
        <v>245</v>
      </c>
      <c r="R24" s="427" t="s">
        <v>920</v>
      </c>
      <c r="S24" s="14" t="s">
        <v>245</v>
      </c>
      <c r="T24" s="14" t="s">
        <v>242</v>
      </c>
      <c r="U24" s="14" t="s">
        <v>245</v>
      </c>
      <c r="V24" s="75"/>
      <c r="W24" s="75"/>
      <c r="X24" s="14" t="s">
        <v>246</v>
      </c>
      <c r="Y24" s="14" t="s">
        <v>940</v>
      </c>
    </row>
    <row r="25" spans="1:26" ht="144">
      <c r="A25" s="157">
        <v>24</v>
      </c>
      <c r="B25" s="70"/>
      <c r="C25" s="70"/>
      <c r="D25" s="32">
        <v>383</v>
      </c>
      <c r="E25" s="32" t="s">
        <v>236</v>
      </c>
      <c r="F25" s="71" t="s">
        <v>237</v>
      </c>
      <c r="G25" s="51" t="s">
        <v>247</v>
      </c>
      <c r="H25" s="51" t="s">
        <v>239</v>
      </c>
      <c r="I25" s="73" t="s">
        <v>248</v>
      </c>
      <c r="J25" s="197"/>
      <c r="K25" s="14" t="s">
        <v>249</v>
      </c>
      <c r="L25" s="451" t="s">
        <v>941</v>
      </c>
      <c r="M25" s="32" t="s">
        <v>161</v>
      </c>
      <c r="N25" s="176" t="s">
        <v>150</v>
      </c>
      <c r="O25" s="74"/>
      <c r="P25" s="74"/>
      <c r="Q25" s="14" t="s">
        <v>249</v>
      </c>
      <c r="R25" s="427" t="s">
        <v>921</v>
      </c>
      <c r="S25" s="14" t="s">
        <v>249</v>
      </c>
      <c r="T25" s="14" t="s">
        <v>242</v>
      </c>
      <c r="U25" s="14" t="s">
        <v>249</v>
      </c>
      <c r="V25" s="75"/>
      <c r="W25" s="75"/>
      <c r="X25" s="14" t="s">
        <v>242</v>
      </c>
      <c r="Y25" s="14" t="s">
        <v>941</v>
      </c>
    </row>
    <row r="26" spans="1:26" ht="144">
      <c r="A26" s="157">
        <v>25</v>
      </c>
      <c r="B26" s="70"/>
      <c r="C26" s="70"/>
      <c r="D26" s="32">
        <v>413</v>
      </c>
      <c r="E26" s="32" t="s">
        <v>236</v>
      </c>
      <c r="F26" s="71" t="s">
        <v>237</v>
      </c>
      <c r="G26" s="51" t="s">
        <v>250</v>
      </c>
      <c r="H26" s="51" t="s">
        <v>239</v>
      </c>
      <c r="I26" s="73" t="s">
        <v>251</v>
      </c>
      <c r="J26" s="197"/>
      <c r="K26" s="14" t="s">
        <v>252</v>
      </c>
      <c r="L26" s="451" t="s">
        <v>942</v>
      </c>
      <c r="M26" s="32" t="s">
        <v>161</v>
      </c>
      <c r="N26" s="176" t="s">
        <v>150</v>
      </c>
      <c r="O26" s="74"/>
      <c r="P26" s="74"/>
      <c r="Q26" s="14" t="s">
        <v>252</v>
      </c>
      <c r="R26" s="427" t="s">
        <v>922</v>
      </c>
      <c r="S26" s="14" t="s">
        <v>252</v>
      </c>
      <c r="T26" s="14" t="s">
        <v>242</v>
      </c>
      <c r="U26" s="14" t="s">
        <v>252</v>
      </c>
      <c r="V26" s="75"/>
      <c r="W26" s="75"/>
      <c r="X26" s="14" t="s">
        <v>242</v>
      </c>
      <c r="Y26" s="14" t="s">
        <v>942</v>
      </c>
    </row>
    <row r="27" spans="1:26" ht="144">
      <c r="A27" s="157">
        <v>26</v>
      </c>
      <c r="B27" s="70"/>
      <c r="C27" s="70"/>
      <c r="D27" s="32">
        <v>443</v>
      </c>
      <c r="E27" s="32" t="s">
        <v>236</v>
      </c>
      <c r="F27" s="71" t="s">
        <v>237</v>
      </c>
      <c r="G27" s="51" t="s">
        <v>253</v>
      </c>
      <c r="H27" s="51" t="s">
        <v>239</v>
      </c>
      <c r="I27" s="73" t="s">
        <v>254</v>
      </c>
      <c r="J27" s="197"/>
      <c r="K27" s="14" t="s">
        <v>255</v>
      </c>
      <c r="L27" s="451" t="s">
        <v>943</v>
      </c>
      <c r="M27" s="32" t="s">
        <v>161</v>
      </c>
      <c r="N27" s="176" t="s">
        <v>150</v>
      </c>
      <c r="O27" s="74"/>
      <c r="P27" s="74"/>
      <c r="Q27" s="14" t="s">
        <v>255</v>
      </c>
      <c r="R27" s="427" t="s">
        <v>923</v>
      </c>
      <c r="S27" s="14" t="s">
        <v>255</v>
      </c>
      <c r="T27" s="14" t="s">
        <v>242</v>
      </c>
      <c r="U27" s="14" t="s">
        <v>256</v>
      </c>
      <c r="V27" s="75"/>
      <c r="W27" s="75"/>
      <c r="X27" s="14" t="s">
        <v>242</v>
      </c>
      <c r="Y27" s="14" t="s">
        <v>943</v>
      </c>
    </row>
    <row r="28" spans="1:26" ht="144">
      <c r="A28" s="157">
        <v>27</v>
      </c>
      <c r="B28" s="70"/>
      <c r="C28" s="70"/>
      <c r="D28" s="32">
        <v>473</v>
      </c>
      <c r="E28" s="32" t="s">
        <v>236</v>
      </c>
      <c r="F28" s="71" t="s">
        <v>237</v>
      </c>
      <c r="G28" s="51" t="s">
        <v>257</v>
      </c>
      <c r="H28" s="51" t="s">
        <v>239</v>
      </c>
      <c r="I28" s="73" t="s">
        <v>258</v>
      </c>
      <c r="J28" s="197"/>
      <c r="K28" s="14" t="s">
        <v>259</v>
      </c>
      <c r="L28" s="451" t="s">
        <v>944</v>
      </c>
      <c r="M28" s="32" t="s">
        <v>161</v>
      </c>
      <c r="N28" s="176" t="s">
        <v>150</v>
      </c>
      <c r="O28" s="74"/>
      <c r="P28" s="74"/>
      <c r="Q28" s="14" t="s">
        <v>259</v>
      </c>
      <c r="R28" s="427" t="s">
        <v>924</v>
      </c>
      <c r="S28" s="14" t="s">
        <v>259</v>
      </c>
      <c r="T28" s="14" t="s">
        <v>242</v>
      </c>
      <c r="U28" s="14" t="s">
        <v>259</v>
      </c>
      <c r="V28" s="75"/>
      <c r="W28" s="75"/>
      <c r="X28" s="14" t="s">
        <v>143</v>
      </c>
      <c r="Y28" s="14" t="s">
        <v>944</v>
      </c>
    </row>
    <row r="29" spans="1:26" ht="132">
      <c r="A29" s="157">
        <v>28</v>
      </c>
      <c r="B29" s="75"/>
      <c r="C29" s="75"/>
      <c r="D29" s="32">
        <v>503</v>
      </c>
      <c r="E29" s="32" t="s">
        <v>260</v>
      </c>
      <c r="F29" s="71" t="s">
        <v>261</v>
      </c>
      <c r="G29" s="51" t="s">
        <v>262</v>
      </c>
      <c r="H29" s="51" t="s">
        <v>263</v>
      </c>
      <c r="I29" s="73"/>
      <c r="J29" s="198" t="s">
        <v>264</v>
      </c>
      <c r="K29" s="284" t="s">
        <v>697</v>
      </c>
      <c r="L29" s="285" t="s">
        <v>979</v>
      </c>
      <c r="M29" s="32" t="s">
        <v>52</v>
      </c>
      <c r="N29" s="176" t="s">
        <v>150</v>
      </c>
      <c r="O29" s="74"/>
      <c r="P29" s="74"/>
      <c r="Q29" s="284" t="s">
        <v>697</v>
      </c>
      <c r="R29" s="285" t="s">
        <v>698</v>
      </c>
      <c r="S29" s="284" t="s">
        <v>697</v>
      </c>
      <c r="T29" s="285" t="s">
        <v>698</v>
      </c>
      <c r="U29" s="5" t="s">
        <v>265</v>
      </c>
      <c r="V29" s="5" t="s">
        <v>266</v>
      </c>
      <c r="W29" s="5" t="s">
        <v>267</v>
      </c>
      <c r="X29" s="5" t="s">
        <v>265</v>
      </c>
      <c r="Y29" s="5" t="s">
        <v>266</v>
      </c>
      <c r="Z29" s="5" t="s">
        <v>267</v>
      </c>
    </row>
    <row r="30" spans="1:26" ht="47.25" customHeight="1">
      <c r="A30" s="157">
        <v>29</v>
      </c>
      <c r="B30" s="75"/>
      <c r="C30" s="75"/>
      <c r="D30" s="32">
        <v>527</v>
      </c>
      <c r="E30" s="32" t="s">
        <v>268</v>
      </c>
      <c r="F30" s="71" t="s">
        <v>269</v>
      </c>
      <c r="G30" s="51" t="s">
        <v>270</v>
      </c>
      <c r="H30" s="51" t="s">
        <v>271</v>
      </c>
      <c r="I30" s="74"/>
      <c r="J30" s="72"/>
      <c r="K30" s="74" t="s">
        <v>272</v>
      </c>
      <c r="L30" s="74" t="s">
        <v>160</v>
      </c>
      <c r="M30" s="32" t="s">
        <v>161</v>
      </c>
      <c r="N30" s="78" t="s">
        <v>150</v>
      </c>
      <c r="O30" s="13"/>
      <c r="P30" s="13"/>
      <c r="Q30" s="74" t="s">
        <v>272</v>
      </c>
      <c r="R30" s="74" t="s">
        <v>160</v>
      </c>
      <c r="S30" s="74" t="s">
        <v>272</v>
      </c>
      <c r="T30" s="74" t="s">
        <v>160</v>
      </c>
      <c r="U30" s="74" t="s">
        <v>160</v>
      </c>
      <c r="V30" s="74"/>
      <c r="W30" s="74"/>
      <c r="X30" s="74" t="s">
        <v>160</v>
      </c>
      <c r="Y30" s="75"/>
    </row>
    <row r="31" spans="1:26" ht="26.25" customHeight="1">
      <c r="A31" s="157">
        <v>30</v>
      </c>
      <c r="B31" s="70"/>
      <c r="C31" s="70"/>
      <c r="D31" s="32">
        <v>607</v>
      </c>
      <c r="E31" s="32" t="s">
        <v>273</v>
      </c>
      <c r="F31" s="71"/>
      <c r="G31" s="51" t="s">
        <v>274</v>
      </c>
      <c r="H31" s="51" t="s">
        <v>275</v>
      </c>
      <c r="I31" s="74"/>
      <c r="J31" s="72"/>
      <c r="K31" s="5" t="s">
        <v>276</v>
      </c>
      <c r="L31" s="5" t="s">
        <v>276</v>
      </c>
      <c r="M31" s="32" t="s">
        <v>52</v>
      </c>
      <c r="N31" s="78" t="s">
        <v>150</v>
      </c>
      <c r="O31" s="13"/>
      <c r="P31" s="13"/>
      <c r="Q31" s="5" t="s">
        <v>276</v>
      </c>
      <c r="R31" s="5" t="s">
        <v>276</v>
      </c>
      <c r="S31" s="5" t="s">
        <v>276</v>
      </c>
      <c r="T31" s="5" t="s">
        <v>276</v>
      </c>
      <c r="U31" s="5" t="s">
        <v>276</v>
      </c>
      <c r="V31" s="74"/>
      <c r="W31" s="74"/>
      <c r="X31" s="5" t="s">
        <v>276</v>
      </c>
      <c r="Y31" s="75"/>
    </row>
    <row r="32" spans="1:26" ht="36.75" customHeight="1">
      <c r="A32" s="157">
        <v>31</v>
      </c>
      <c r="B32" s="70"/>
      <c r="C32" s="70"/>
      <c r="D32" s="32">
        <v>616</v>
      </c>
      <c r="E32" s="32" t="s">
        <v>277</v>
      </c>
      <c r="F32" s="71" t="s">
        <v>278</v>
      </c>
      <c r="G32" s="51" t="s">
        <v>279</v>
      </c>
      <c r="H32" s="51" t="s">
        <v>280</v>
      </c>
      <c r="I32" s="74"/>
      <c r="J32" s="72"/>
      <c r="K32" s="5" t="s">
        <v>276</v>
      </c>
      <c r="L32" s="5" t="s">
        <v>276</v>
      </c>
      <c r="M32" s="32" t="s">
        <v>52</v>
      </c>
      <c r="N32" s="78" t="s">
        <v>150</v>
      </c>
      <c r="O32" s="13"/>
      <c r="P32" s="13"/>
      <c r="Q32" s="5" t="s">
        <v>276</v>
      </c>
      <c r="R32" s="5" t="s">
        <v>276</v>
      </c>
      <c r="S32" s="5" t="s">
        <v>276</v>
      </c>
      <c r="T32" s="5" t="s">
        <v>276</v>
      </c>
      <c r="U32" s="5" t="s">
        <v>276</v>
      </c>
      <c r="V32" s="74"/>
      <c r="W32" s="74"/>
      <c r="X32" s="5" t="s">
        <v>276</v>
      </c>
      <c r="Y32" s="75"/>
    </row>
    <row r="33" spans="1:25" ht="38.25" customHeight="1">
      <c r="A33" s="157">
        <v>32</v>
      </c>
      <c r="B33" s="70"/>
      <c r="C33" s="70"/>
      <c r="D33" s="32">
        <v>625</v>
      </c>
      <c r="E33" s="32" t="s">
        <v>281</v>
      </c>
      <c r="F33" s="71" t="s">
        <v>282</v>
      </c>
      <c r="G33" s="51" t="s">
        <v>283</v>
      </c>
      <c r="H33" s="51" t="s">
        <v>284</v>
      </c>
      <c r="I33" s="74"/>
      <c r="J33" s="72"/>
      <c r="K33" s="5" t="s">
        <v>285</v>
      </c>
      <c r="L33" s="5" t="s">
        <v>285</v>
      </c>
      <c r="M33" s="32" t="s">
        <v>52</v>
      </c>
      <c r="N33" s="78" t="s">
        <v>150</v>
      </c>
      <c r="O33" s="13"/>
      <c r="P33" s="13"/>
      <c r="Q33" s="5" t="s">
        <v>285</v>
      </c>
      <c r="R33" s="5" t="s">
        <v>285</v>
      </c>
      <c r="S33" s="5" t="s">
        <v>285</v>
      </c>
      <c r="T33" s="5" t="s">
        <v>285</v>
      </c>
      <c r="U33" s="5" t="s">
        <v>285</v>
      </c>
      <c r="V33" s="74"/>
      <c r="W33" s="74"/>
      <c r="X33" s="5" t="s">
        <v>285</v>
      </c>
      <c r="Y33" s="75"/>
    </row>
    <row r="34" spans="1:25" ht="36.75" customHeight="1">
      <c r="A34" s="157">
        <v>33</v>
      </c>
      <c r="B34" s="70"/>
      <c r="C34" s="70"/>
      <c r="D34" s="32">
        <v>628</v>
      </c>
      <c r="E34" s="32" t="s">
        <v>286</v>
      </c>
      <c r="F34" s="71" t="s">
        <v>287</v>
      </c>
      <c r="G34" s="51" t="s">
        <v>288</v>
      </c>
      <c r="H34" s="51" t="s">
        <v>289</v>
      </c>
      <c r="I34" s="74"/>
      <c r="J34" s="72"/>
      <c r="K34" s="5" t="s">
        <v>290</v>
      </c>
      <c r="L34" s="5" t="s">
        <v>290</v>
      </c>
      <c r="M34" s="32" t="s">
        <v>52</v>
      </c>
      <c r="N34" s="78" t="s">
        <v>150</v>
      </c>
      <c r="O34" s="13"/>
      <c r="P34" s="13"/>
      <c r="Q34" s="5" t="s">
        <v>290</v>
      </c>
      <c r="R34" s="5" t="s">
        <v>290</v>
      </c>
      <c r="S34" s="5" t="s">
        <v>290</v>
      </c>
      <c r="T34" s="5" t="s">
        <v>290</v>
      </c>
      <c r="U34" s="5" t="s">
        <v>290</v>
      </c>
      <c r="V34" s="74"/>
      <c r="W34" s="74"/>
      <c r="X34" s="5" t="s">
        <v>290</v>
      </c>
      <c r="Y34" s="75"/>
    </row>
    <row r="35" spans="1:25" ht="168">
      <c r="A35" s="157">
        <v>34</v>
      </c>
      <c r="B35" s="75"/>
      <c r="C35" s="75"/>
      <c r="D35" s="32">
        <v>632</v>
      </c>
      <c r="E35" s="32" t="s">
        <v>291</v>
      </c>
      <c r="F35" s="71" t="s">
        <v>292</v>
      </c>
      <c r="G35" s="51" t="s">
        <v>293</v>
      </c>
      <c r="H35" s="51" t="s">
        <v>294</v>
      </c>
      <c r="I35" s="74"/>
      <c r="J35" s="72" t="s">
        <v>295</v>
      </c>
      <c r="K35" s="154" t="s">
        <v>160</v>
      </c>
      <c r="L35" s="191" t="s">
        <v>160</v>
      </c>
      <c r="M35" s="32" t="s">
        <v>161</v>
      </c>
      <c r="N35" s="78" t="s">
        <v>296</v>
      </c>
      <c r="O35" s="177"/>
      <c r="P35" s="177"/>
      <c r="Q35" s="154" t="s">
        <v>160</v>
      </c>
      <c r="R35" s="191" t="s">
        <v>160</v>
      </c>
      <c r="S35" s="154" t="s">
        <v>160</v>
      </c>
      <c r="T35" s="191" t="s">
        <v>160</v>
      </c>
      <c r="U35" s="74" t="s">
        <v>160</v>
      </c>
      <c r="V35" s="14"/>
      <c r="W35" s="14"/>
      <c r="X35" s="74" t="s">
        <v>160</v>
      </c>
      <c r="Y35" s="75"/>
    </row>
    <row r="36" spans="1:25" ht="84">
      <c r="A36" s="157">
        <v>35</v>
      </c>
      <c r="B36" s="70"/>
      <c r="C36" s="70"/>
      <c r="D36" s="32">
        <v>647</v>
      </c>
      <c r="E36" s="32" t="s">
        <v>27</v>
      </c>
      <c r="F36" s="71" t="s">
        <v>297</v>
      </c>
      <c r="G36" s="51" t="s">
        <v>298</v>
      </c>
      <c r="H36" s="83" t="s">
        <v>299</v>
      </c>
      <c r="I36" s="74"/>
      <c r="J36" s="72" t="s">
        <v>300</v>
      </c>
      <c r="K36" s="193" t="s">
        <v>160</v>
      </c>
      <c r="L36" s="193" t="s">
        <v>160</v>
      </c>
      <c r="M36" s="32" t="s">
        <v>161</v>
      </c>
      <c r="N36" s="78"/>
      <c r="O36" s="13"/>
      <c r="P36" s="13"/>
      <c r="Q36" s="193" t="s">
        <v>160</v>
      </c>
      <c r="R36" s="193" t="s">
        <v>160</v>
      </c>
      <c r="S36" s="193" t="s">
        <v>160</v>
      </c>
      <c r="T36" s="193" t="s">
        <v>160</v>
      </c>
      <c r="U36" s="5" t="s">
        <v>272</v>
      </c>
      <c r="V36" s="74"/>
      <c r="W36" s="74"/>
      <c r="X36" s="5" t="s">
        <v>160</v>
      </c>
      <c r="Y36" s="75"/>
    </row>
    <row r="37" spans="1:25" ht="120">
      <c r="A37" s="157">
        <v>36</v>
      </c>
      <c r="B37" s="75"/>
      <c r="C37" s="75"/>
      <c r="D37" s="32">
        <v>648</v>
      </c>
      <c r="E37" s="32" t="s">
        <v>170</v>
      </c>
      <c r="F37" s="71" t="s">
        <v>301</v>
      </c>
      <c r="G37" s="51" t="s">
        <v>302</v>
      </c>
      <c r="H37" s="51" t="s">
        <v>303</v>
      </c>
      <c r="I37" s="74" t="s">
        <v>304</v>
      </c>
      <c r="J37" s="72" t="s">
        <v>305</v>
      </c>
      <c r="K37" s="74" t="s">
        <v>827</v>
      </c>
      <c r="L37" s="74" t="s">
        <v>827</v>
      </c>
      <c r="M37" s="32" t="s">
        <v>58</v>
      </c>
      <c r="N37" s="78"/>
      <c r="O37" s="177"/>
      <c r="P37" s="177"/>
      <c r="Q37" s="74" t="s">
        <v>827</v>
      </c>
      <c r="R37" s="74" t="s">
        <v>827</v>
      </c>
      <c r="S37" s="74" t="s">
        <v>827</v>
      </c>
      <c r="T37" s="74" t="s">
        <v>827</v>
      </c>
      <c r="U37" s="74" t="s">
        <v>160</v>
      </c>
      <c r="V37" s="74" t="s">
        <v>822</v>
      </c>
      <c r="W37" s="14"/>
      <c r="X37" s="74" t="s">
        <v>160</v>
      </c>
      <c r="Y37" s="74" t="s">
        <v>822</v>
      </c>
    </row>
    <row r="38" spans="1:25" ht="156">
      <c r="A38" s="157">
        <v>37</v>
      </c>
      <c r="B38" s="70"/>
      <c r="C38" s="70"/>
      <c r="D38" s="32">
        <v>650</v>
      </c>
      <c r="E38" s="80" t="s">
        <v>27</v>
      </c>
      <c r="F38" s="71" t="s">
        <v>307</v>
      </c>
      <c r="G38" s="51" t="s">
        <v>308</v>
      </c>
      <c r="H38" s="51" t="s">
        <v>309</v>
      </c>
      <c r="I38" s="74"/>
      <c r="J38" s="72" t="s">
        <v>2</v>
      </c>
      <c r="K38" s="74" t="s">
        <v>160</v>
      </c>
      <c r="L38" s="277" t="s">
        <v>713</v>
      </c>
      <c r="M38" s="32" t="s">
        <v>161</v>
      </c>
      <c r="N38" s="78" t="s">
        <v>296</v>
      </c>
      <c r="O38" s="13"/>
      <c r="P38" s="13"/>
      <c r="Q38" s="74" t="s">
        <v>160</v>
      </c>
      <c r="R38" s="277" t="s">
        <v>713</v>
      </c>
      <c r="S38" s="74" t="s">
        <v>160</v>
      </c>
      <c r="T38" s="277" t="s">
        <v>713</v>
      </c>
      <c r="U38" s="74" t="s">
        <v>160</v>
      </c>
      <c r="V38" s="74"/>
      <c r="W38" s="74"/>
      <c r="X38" s="51" t="s">
        <v>310</v>
      </c>
      <c r="Y38" s="51"/>
    </row>
    <row r="39" spans="1:25" ht="144">
      <c r="A39" s="157">
        <v>38</v>
      </c>
      <c r="B39" s="70"/>
      <c r="C39" s="70"/>
      <c r="D39" s="32">
        <v>651</v>
      </c>
      <c r="E39" s="32" t="s">
        <v>145</v>
      </c>
      <c r="F39" s="71" t="s">
        <v>311</v>
      </c>
      <c r="G39" s="51" t="s">
        <v>312</v>
      </c>
      <c r="H39" s="51" t="s">
        <v>313</v>
      </c>
      <c r="I39" s="74" t="s">
        <v>314</v>
      </c>
      <c r="J39" s="72" t="s">
        <v>315</v>
      </c>
      <c r="K39" s="74" t="s">
        <v>947</v>
      </c>
      <c r="L39" s="74" t="s">
        <v>948</v>
      </c>
      <c r="M39" s="32" t="s">
        <v>161</v>
      </c>
      <c r="N39" s="78" t="s">
        <v>150</v>
      </c>
      <c r="O39" s="13"/>
      <c r="P39" s="13"/>
      <c r="Q39" s="74" t="s">
        <v>925</v>
      </c>
      <c r="R39" s="74" t="s">
        <v>926</v>
      </c>
      <c r="S39" s="74" t="s">
        <v>848</v>
      </c>
      <c r="T39" s="74" t="s">
        <v>847</v>
      </c>
      <c r="U39" s="74" t="s">
        <v>825</v>
      </c>
      <c r="V39" s="74"/>
      <c r="W39" s="74"/>
      <c r="X39" s="74" t="s">
        <v>825</v>
      </c>
      <c r="Y39" s="75"/>
    </row>
    <row r="40" spans="1:25" ht="156">
      <c r="A40" s="157">
        <v>39</v>
      </c>
      <c r="B40" s="70"/>
      <c r="C40" s="70"/>
      <c r="D40" s="32">
        <v>660</v>
      </c>
      <c r="E40" s="80" t="s">
        <v>27</v>
      </c>
      <c r="F40" s="71" t="s">
        <v>316</v>
      </c>
      <c r="G40" s="51" t="s">
        <v>317</v>
      </c>
      <c r="H40" s="51" t="s">
        <v>318</v>
      </c>
      <c r="I40" s="74"/>
      <c r="J40" s="72"/>
      <c r="K40" s="74" t="s">
        <v>160</v>
      </c>
      <c r="L40" s="277" t="s">
        <v>722</v>
      </c>
      <c r="M40" s="32" t="s">
        <v>161</v>
      </c>
      <c r="N40" s="78" t="s">
        <v>296</v>
      </c>
      <c r="O40" s="13"/>
      <c r="P40" s="13"/>
      <c r="Q40" s="74" t="s">
        <v>160</v>
      </c>
      <c r="R40" s="277" t="s">
        <v>722</v>
      </c>
      <c r="S40" s="74" t="s">
        <v>160</v>
      </c>
      <c r="T40" s="277" t="s">
        <v>722</v>
      </c>
      <c r="U40" s="74" t="s">
        <v>160</v>
      </c>
      <c r="V40" s="74"/>
      <c r="W40" s="74"/>
      <c r="X40" s="51" t="s">
        <v>319</v>
      </c>
      <c r="Y40" s="74"/>
    </row>
    <row r="41" spans="1:25" ht="96">
      <c r="A41" s="157">
        <v>40</v>
      </c>
      <c r="B41" s="70"/>
      <c r="C41" s="70"/>
      <c r="D41" s="32">
        <v>661</v>
      </c>
      <c r="E41" s="32" t="s">
        <v>27</v>
      </c>
      <c r="F41" s="71" t="s">
        <v>320</v>
      </c>
      <c r="G41" s="51" t="s">
        <v>321</v>
      </c>
      <c r="H41" s="51" t="s">
        <v>322</v>
      </c>
      <c r="I41" s="74"/>
      <c r="J41" s="72"/>
      <c r="K41" s="191" t="s">
        <v>160</v>
      </c>
      <c r="L41" s="191" t="s">
        <v>160</v>
      </c>
      <c r="M41" s="32" t="s">
        <v>161</v>
      </c>
      <c r="N41" s="78" t="s">
        <v>296</v>
      </c>
      <c r="O41" s="13"/>
      <c r="P41" s="13"/>
      <c r="Q41" s="191" t="s">
        <v>160</v>
      </c>
      <c r="R41" s="191" t="s">
        <v>160</v>
      </c>
      <c r="S41" s="191" t="s">
        <v>160</v>
      </c>
      <c r="T41" s="191" t="s">
        <v>160</v>
      </c>
      <c r="U41" s="74" t="s">
        <v>160</v>
      </c>
      <c r="V41" s="74"/>
      <c r="W41" s="74"/>
      <c r="X41" s="74" t="s">
        <v>160</v>
      </c>
      <c r="Y41" s="75"/>
    </row>
    <row r="42" spans="1:25" ht="60">
      <c r="A42" s="157">
        <v>41</v>
      </c>
      <c r="B42" s="70"/>
      <c r="C42" s="70"/>
      <c r="D42" s="32">
        <v>662</v>
      </c>
      <c r="E42" s="32" t="s">
        <v>27</v>
      </c>
      <c r="F42" s="71" t="s">
        <v>323</v>
      </c>
      <c r="G42" s="51" t="s">
        <v>324</v>
      </c>
      <c r="H42" s="51" t="s">
        <v>325</v>
      </c>
      <c r="I42" s="74"/>
      <c r="J42" s="72"/>
      <c r="K42" s="154" t="s">
        <v>143</v>
      </c>
      <c r="L42" s="191" t="s">
        <v>160</v>
      </c>
      <c r="M42" s="32" t="s">
        <v>161</v>
      </c>
      <c r="N42" s="78" t="s">
        <v>296</v>
      </c>
      <c r="O42" s="13"/>
      <c r="P42" s="13"/>
      <c r="Q42" s="154" t="s">
        <v>143</v>
      </c>
      <c r="R42" s="191" t="s">
        <v>160</v>
      </c>
      <c r="S42" s="154" t="s">
        <v>143</v>
      </c>
      <c r="T42" s="191" t="s">
        <v>160</v>
      </c>
      <c r="U42" s="74" t="s">
        <v>160</v>
      </c>
      <c r="V42" s="74"/>
      <c r="W42" s="74"/>
      <c r="X42" s="74" t="s">
        <v>160</v>
      </c>
      <c r="Y42" s="75"/>
    </row>
    <row r="43" spans="1:25" ht="156">
      <c r="A43" s="157">
        <v>42</v>
      </c>
      <c r="B43" s="70"/>
      <c r="C43" s="70"/>
      <c r="D43" s="32">
        <v>663</v>
      </c>
      <c r="E43" s="32" t="s">
        <v>27</v>
      </c>
      <c r="F43" s="71" t="s">
        <v>326</v>
      </c>
      <c r="G43" s="51" t="s">
        <v>327</v>
      </c>
      <c r="H43" s="51" t="s">
        <v>328</v>
      </c>
      <c r="I43" s="74"/>
      <c r="J43" s="72"/>
      <c r="K43" s="74" t="s">
        <v>160</v>
      </c>
      <c r="L43" s="277" t="s">
        <v>722</v>
      </c>
      <c r="M43" s="32" t="s">
        <v>161</v>
      </c>
      <c r="N43" s="78" t="s">
        <v>296</v>
      </c>
      <c r="O43" s="13"/>
      <c r="P43" s="13"/>
      <c r="Q43" s="74" t="s">
        <v>160</v>
      </c>
      <c r="R43" s="277" t="s">
        <v>722</v>
      </c>
      <c r="S43" s="74" t="s">
        <v>160</v>
      </c>
      <c r="T43" s="277" t="s">
        <v>722</v>
      </c>
      <c r="U43" s="74" t="s">
        <v>160</v>
      </c>
      <c r="V43" s="74"/>
      <c r="W43" s="74"/>
      <c r="X43" s="51" t="s">
        <v>329</v>
      </c>
      <c r="Y43" s="75"/>
    </row>
    <row r="44" spans="1:25" ht="36">
      <c r="A44" s="157">
        <v>43</v>
      </c>
      <c r="B44" s="75"/>
      <c r="C44" s="75"/>
      <c r="D44" s="32">
        <v>664</v>
      </c>
      <c r="E44" s="32">
        <v>9</v>
      </c>
      <c r="F44" s="71" t="s">
        <v>330</v>
      </c>
      <c r="G44" s="51" t="s">
        <v>331</v>
      </c>
      <c r="H44" s="51" t="s">
        <v>332</v>
      </c>
      <c r="I44" s="51" t="s">
        <v>333</v>
      </c>
      <c r="J44" s="72" t="s">
        <v>334</v>
      </c>
      <c r="K44" s="51" t="s">
        <v>335</v>
      </c>
      <c r="L44" s="51" t="s">
        <v>335</v>
      </c>
      <c r="M44" s="32" t="s">
        <v>161</v>
      </c>
      <c r="N44" s="78" t="s">
        <v>150</v>
      </c>
      <c r="O44" s="13"/>
      <c r="P44" s="13"/>
      <c r="Q44" s="51" t="s">
        <v>335</v>
      </c>
      <c r="R44" s="51" t="s">
        <v>335</v>
      </c>
      <c r="S44" s="51" t="s">
        <v>335</v>
      </c>
      <c r="T44" s="51" t="s">
        <v>335</v>
      </c>
      <c r="U44" s="51" t="s">
        <v>335</v>
      </c>
      <c r="V44" s="77"/>
      <c r="W44" s="77"/>
      <c r="X44" s="51" t="s">
        <v>335</v>
      </c>
      <c r="Y44" s="75"/>
    </row>
    <row r="45" spans="1:25" ht="108">
      <c r="A45" s="157">
        <v>44</v>
      </c>
      <c r="B45" s="70"/>
      <c r="C45" s="70"/>
      <c r="D45" s="32">
        <v>665</v>
      </c>
      <c r="E45" s="32" t="s">
        <v>162</v>
      </c>
      <c r="F45" s="71" t="s">
        <v>163</v>
      </c>
      <c r="G45" s="51" t="s">
        <v>336</v>
      </c>
      <c r="H45" s="51" t="s">
        <v>337</v>
      </c>
      <c r="I45" s="51" t="s">
        <v>333</v>
      </c>
      <c r="J45" s="72" t="s">
        <v>338</v>
      </c>
      <c r="K45" s="51" t="s">
        <v>340</v>
      </c>
      <c r="L45" s="51" t="s">
        <v>828</v>
      </c>
      <c r="M45" s="32" t="s">
        <v>161</v>
      </c>
      <c r="N45" s="78" t="s">
        <v>150</v>
      </c>
      <c r="O45" s="13"/>
      <c r="P45" s="13"/>
      <c r="Q45" s="51" t="s">
        <v>340</v>
      </c>
      <c r="R45" s="51" t="s">
        <v>828</v>
      </c>
      <c r="S45" s="51" t="s">
        <v>340</v>
      </c>
      <c r="T45" s="51" t="s">
        <v>828</v>
      </c>
      <c r="U45" s="51" t="s">
        <v>339</v>
      </c>
      <c r="V45" s="51" t="s">
        <v>340</v>
      </c>
      <c r="W45" s="51"/>
      <c r="X45" s="51" t="s">
        <v>339</v>
      </c>
      <c r="Y45" s="51"/>
    </row>
    <row r="46" spans="1:25" ht="153.75" customHeight="1">
      <c r="A46" s="157">
        <v>45</v>
      </c>
      <c r="B46" s="75"/>
      <c r="C46" s="75"/>
      <c r="D46" s="32">
        <v>670</v>
      </c>
      <c r="E46" s="32" t="s">
        <v>27</v>
      </c>
      <c r="F46" s="71" t="s">
        <v>341</v>
      </c>
      <c r="G46" s="51" t="s">
        <v>342</v>
      </c>
      <c r="H46" s="51" t="s">
        <v>343</v>
      </c>
      <c r="I46" s="74"/>
      <c r="J46" s="72"/>
      <c r="K46" s="74" t="s">
        <v>160</v>
      </c>
      <c r="L46" s="74" t="s">
        <v>160</v>
      </c>
      <c r="M46" s="32" t="s">
        <v>161</v>
      </c>
      <c r="N46" s="78" t="s">
        <v>296</v>
      </c>
      <c r="O46" s="177"/>
      <c r="P46" s="177"/>
      <c r="Q46" s="74" t="s">
        <v>160</v>
      </c>
      <c r="R46" s="74" t="s">
        <v>160</v>
      </c>
      <c r="S46" s="74" t="s">
        <v>160</v>
      </c>
      <c r="T46" s="74" t="s">
        <v>160</v>
      </c>
      <c r="U46" s="74" t="s">
        <v>160</v>
      </c>
      <c r="V46" s="14"/>
      <c r="W46" s="14"/>
      <c r="X46" s="74" t="s">
        <v>160</v>
      </c>
      <c r="Y46" s="74"/>
    </row>
    <row r="47" spans="1:25" ht="156">
      <c r="A47" s="157">
        <v>46</v>
      </c>
      <c r="B47" s="70"/>
      <c r="C47" s="70"/>
      <c r="D47" s="32">
        <v>671</v>
      </c>
      <c r="E47" s="32" t="s">
        <v>27</v>
      </c>
      <c r="F47" s="71" t="s">
        <v>344</v>
      </c>
      <c r="G47" s="51" t="s">
        <v>345</v>
      </c>
      <c r="H47" s="51" t="s">
        <v>346</v>
      </c>
      <c r="I47" s="74"/>
      <c r="J47" s="72"/>
      <c r="K47" s="74" t="s">
        <v>160</v>
      </c>
      <c r="L47" s="74" t="s">
        <v>160</v>
      </c>
      <c r="M47" s="32" t="s">
        <v>161</v>
      </c>
      <c r="N47" s="78" t="s">
        <v>296</v>
      </c>
      <c r="O47" s="13"/>
      <c r="P47" s="13"/>
      <c r="Q47" s="74" t="s">
        <v>160</v>
      </c>
      <c r="R47" s="74" t="s">
        <v>160</v>
      </c>
      <c r="S47" s="74" t="s">
        <v>160</v>
      </c>
      <c r="T47" s="74" t="s">
        <v>160</v>
      </c>
      <c r="U47" s="74" t="s">
        <v>160</v>
      </c>
      <c r="V47" s="74"/>
      <c r="W47" s="74"/>
      <c r="X47" s="74" t="s">
        <v>160</v>
      </c>
      <c r="Y47" s="75"/>
    </row>
    <row r="48" spans="1:25" ht="156">
      <c r="A48" s="157">
        <v>47</v>
      </c>
      <c r="B48" s="70"/>
      <c r="C48" s="70"/>
      <c r="D48" s="32">
        <v>672</v>
      </c>
      <c r="E48" s="32" t="s">
        <v>27</v>
      </c>
      <c r="F48" s="71" t="s">
        <v>347</v>
      </c>
      <c r="G48" s="51" t="s">
        <v>348</v>
      </c>
      <c r="H48" s="51" t="s">
        <v>349</v>
      </c>
      <c r="I48" s="74"/>
      <c r="J48" s="72"/>
      <c r="K48" s="74" t="s">
        <v>160</v>
      </c>
      <c r="L48" s="74" t="s">
        <v>160</v>
      </c>
      <c r="M48" s="32" t="s">
        <v>161</v>
      </c>
      <c r="N48" s="78" t="s">
        <v>296</v>
      </c>
      <c r="O48" s="13"/>
      <c r="P48" s="13"/>
      <c r="Q48" s="74" t="s">
        <v>160</v>
      </c>
      <c r="R48" s="74" t="s">
        <v>160</v>
      </c>
      <c r="S48" s="74" t="s">
        <v>160</v>
      </c>
      <c r="T48" s="74" t="s">
        <v>160</v>
      </c>
      <c r="U48" s="74" t="s">
        <v>160</v>
      </c>
      <c r="V48" s="74"/>
      <c r="W48" s="74"/>
      <c r="X48" s="74" t="s">
        <v>160</v>
      </c>
      <c r="Y48" s="75"/>
    </row>
    <row r="49" spans="1:25" ht="156">
      <c r="A49" s="157">
        <v>48</v>
      </c>
      <c r="B49" s="70"/>
      <c r="C49" s="70"/>
      <c r="D49" s="32">
        <v>673</v>
      </c>
      <c r="E49" s="32" t="s">
        <v>27</v>
      </c>
      <c r="F49" s="71" t="s">
        <v>350</v>
      </c>
      <c r="G49" s="51" t="s">
        <v>351</v>
      </c>
      <c r="H49" s="51" t="s">
        <v>352</v>
      </c>
      <c r="I49" s="74"/>
      <c r="J49" s="72"/>
      <c r="K49" s="74" t="s">
        <v>160</v>
      </c>
      <c r="L49" s="74" t="s">
        <v>160</v>
      </c>
      <c r="M49" s="32" t="s">
        <v>161</v>
      </c>
      <c r="N49" s="78" t="s">
        <v>296</v>
      </c>
      <c r="O49" s="13"/>
      <c r="P49" s="13"/>
      <c r="Q49" s="74" t="s">
        <v>160</v>
      </c>
      <c r="R49" s="74" t="s">
        <v>160</v>
      </c>
      <c r="S49" s="74" t="s">
        <v>160</v>
      </c>
      <c r="T49" s="74" t="s">
        <v>160</v>
      </c>
      <c r="U49" s="74" t="s">
        <v>160</v>
      </c>
      <c r="X49" s="74" t="s">
        <v>160</v>
      </c>
      <c r="Y49" s="75"/>
    </row>
    <row r="50" spans="1:25" ht="156">
      <c r="A50" s="157">
        <v>49</v>
      </c>
      <c r="B50" s="75"/>
      <c r="C50" s="75"/>
      <c r="D50" s="32">
        <v>674</v>
      </c>
      <c r="E50" s="32" t="s">
        <v>27</v>
      </c>
      <c r="F50" s="71" t="s">
        <v>353</v>
      </c>
      <c r="G50" s="51" t="s">
        <v>354</v>
      </c>
      <c r="H50" s="51" t="s">
        <v>355</v>
      </c>
      <c r="I50" s="74"/>
      <c r="J50" s="72"/>
      <c r="K50" s="74" t="s">
        <v>160</v>
      </c>
      <c r="L50" s="74" t="s">
        <v>160</v>
      </c>
      <c r="M50" s="32" t="s">
        <v>161</v>
      </c>
      <c r="N50" s="78" t="s">
        <v>296</v>
      </c>
      <c r="O50" s="13"/>
      <c r="P50" s="13"/>
      <c r="Q50" s="74" t="s">
        <v>160</v>
      </c>
      <c r="R50" s="74" t="s">
        <v>160</v>
      </c>
      <c r="S50" s="74" t="s">
        <v>160</v>
      </c>
      <c r="T50" s="74" t="s">
        <v>160</v>
      </c>
      <c r="U50" s="74" t="s">
        <v>160</v>
      </c>
      <c r="V50" s="74"/>
      <c r="W50" s="74"/>
      <c r="X50" s="74" t="s">
        <v>160</v>
      </c>
      <c r="Y50" s="75"/>
    </row>
    <row r="51" spans="1:25" ht="192">
      <c r="A51" s="157">
        <v>50</v>
      </c>
      <c r="B51" s="70"/>
      <c r="C51" s="70"/>
      <c r="D51" s="32">
        <v>675</v>
      </c>
      <c r="E51" s="32" t="s">
        <v>27</v>
      </c>
      <c r="F51" s="71" t="s">
        <v>356</v>
      </c>
      <c r="G51" s="51" t="s">
        <v>357</v>
      </c>
      <c r="H51" s="51" t="s">
        <v>358</v>
      </c>
      <c r="I51" s="74"/>
      <c r="J51" s="72"/>
      <c r="K51" s="74" t="s">
        <v>160</v>
      </c>
      <c r="L51" s="277" t="s">
        <v>740</v>
      </c>
      <c r="M51" s="32" t="s">
        <v>161</v>
      </c>
      <c r="N51" s="78" t="s">
        <v>296</v>
      </c>
      <c r="O51" s="13"/>
      <c r="P51" s="13"/>
      <c r="Q51" s="74" t="s">
        <v>160</v>
      </c>
      <c r="R51" s="277" t="s">
        <v>740</v>
      </c>
      <c r="S51" s="74" t="s">
        <v>160</v>
      </c>
      <c r="T51" s="277" t="s">
        <v>740</v>
      </c>
      <c r="U51" s="74" t="s">
        <v>160</v>
      </c>
      <c r="V51" s="74"/>
      <c r="W51" s="74"/>
      <c r="X51" s="74" t="s">
        <v>160</v>
      </c>
      <c r="Y51" s="74" t="s">
        <v>980</v>
      </c>
    </row>
    <row r="52" spans="1:25" ht="36">
      <c r="A52" s="157">
        <v>51</v>
      </c>
      <c r="B52" s="101"/>
      <c r="C52" s="101"/>
      <c r="D52" s="92">
        <v>676</v>
      </c>
      <c r="E52" s="103" t="s">
        <v>27</v>
      </c>
      <c r="F52" s="93" t="s">
        <v>359</v>
      </c>
      <c r="G52" s="105" t="s">
        <v>360</v>
      </c>
      <c r="H52" s="111" t="s">
        <v>361</v>
      </c>
      <c r="I52" s="99"/>
      <c r="J52" s="94"/>
      <c r="K52" s="94"/>
      <c r="L52" s="95"/>
      <c r="M52" s="103" t="s">
        <v>161</v>
      </c>
      <c r="N52" s="175"/>
      <c r="O52" s="96"/>
      <c r="P52" s="96"/>
      <c r="Q52" s="94"/>
      <c r="R52" s="95"/>
      <c r="S52" s="94"/>
      <c r="T52" s="95"/>
      <c r="U52" s="99"/>
      <c r="V52" s="99"/>
      <c r="W52" s="99"/>
      <c r="X52" s="99"/>
      <c r="Y52" s="100"/>
    </row>
    <row r="53" spans="1:25" ht="72">
      <c r="A53" s="157">
        <v>52</v>
      </c>
      <c r="B53" s="75"/>
      <c r="C53" s="75"/>
      <c r="D53" s="32">
        <v>677</v>
      </c>
      <c r="E53" s="32" t="s">
        <v>27</v>
      </c>
      <c r="F53" s="71" t="s">
        <v>362</v>
      </c>
      <c r="G53" s="51" t="s">
        <v>363</v>
      </c>
      <c r="H53" s="51" t="s">
        <v>364</v>
      </c>
      <c r="I53" s="74"/>
      <c r="J53" s="72"/>
      <c r="K53" s="191" t="s">
        <v>160</v>
      </c>
      <c r="L53" s="191" t="s">
        <v>160</v>
      </c>
      <c r="M53" s="32" t="s">
        <v>161</v>
      </c>
      <c r="N53" s="78" t="s">
        <v>296</v>
      </c>
      <c r="O53" s="13"/>
      <c r="P53" s="13"/>
      <c r="Q53" s="191" t="s">
        <v>160</v>
      </c>
      <c r="R53" s="191" t="s">
        <v>160</v>
      </c>
      <c r="S53" s="191" t="s">
        <v>160</v>
      </c>
      <c r="T53" s="191" t="s">
        <v>160</v>
      </c>
      <c r="U53" s="74" t="s">
        <v>160</v>
      </c>
      <c r="V53" s="74"/>
      <c r="W53" s="74"/>
      <c r="X53" s="74" t="s">
        <v>160</v>
      </c>
      <c r="Y53" s="75"/>
    </row>
    <row r="54" spans="1:25" ht="252">
      <c r="A54" s="157">
        <v>53</v>
      </c>
      <c r="B54" s="70"/>
      <c r="C54" s="70"/>
      <c r="D54" s="32">
        <v>678</v>
      </c>
      <c r="E54" s="32" t="s">
        <v>145</v>
      </c>
      <c r="F54" s="71" t="s">
        <v>365</v>
      </c>
      <c r="G54" s="51" t="s">
        <v>366</v>
      </c>
      <c r="H54" s="51" t="s">
        <v>367</v>
      </c>
      <c r="I54" s="74" t="s">
        <v>368</v>
      </c>
      <c r="J54" s="72" t="s">
        <v>369</v>
      </c>
      <c r="K54" s="5" t="s">
        <v>927</v>
      </c>
      <c r="L54" s="439" t="s">
        <v>946</v>
      </c>
      <c r="M54" s="32" t="s">
        <v>161</v>
      </c>
      <c r="N54" s="78" t="s">
        <v>150</v>
      </c>
      <c r="O54" s="13"/>
      <c r="P54" s="13"/>
      <c r="Q54" s="5" t="s">
        <v>927</v>
      </c>
      <c r="R54" s="428" t="s">
        <v>928</v>
      </c>
      <c r="S54" s="324" t="s">
        <v>844</v>
      </c>
      <c r="T54" s="74" t="s">
        <v>843</v>
      </c>
      <c r="U54" s="5" t="s">
        <v>935</v>
      </c>
      <c r="V54" s="74"/>
      <c r="W54" s="74"/>
      <c r="X54" s="74" t="s">
        <v>370</v>
      </c>
      <c r="Y54" s="5" t="s">
        <v>936</v>
      </c>
    </row>
    <row r="55" spans="1:25" ht="228">
      <c r="A55" s="157">
        <v>54</v>
      </c>
      <c r="B55" s="75"/>
      <c r="C55" s="75"/>
      <c r="D55" s="32">
        <v>687</v>
      </c>
      <c r="E55" s="32" t="s">
        <v>371</v>
      </c>
      <c r="F55" s="71" t="s">
        <v>372</v>
      </c>
      <c r="G55" s="51" t="s">
        <v>373</v>
      </c>
      <c r="H55" s="51" t="s">
        <v>374</v>
      </c>
      <c r="I55" s="74" t="s">
        <v>375</v>
      </c>
      <c r="J55" s="72"/>
      <c r="K55" s="5" t="s">
        <v>376</v>
      </c>
      <c r="L55" s="439" t="s">
        <v>945</v>
      </c>
      <c r="M55" s="32" t="s">
        <v>161</v>
      </c>
      <c r="N55" s="78" t="s">
        <v>150</v>
      </c>
      <c r="O55" s="13"/>
      <c r="P55" s="13"/>
      <c r="Q55" s="5" t="s">
        <v>376</v>
      </c>
      <c r="R55" s="428" t="s">
        <v>929</v>
      </c>
      <c r="S55" s="5" t="s">
        <v>376</v>
      </c>
      <c r="T55" s="5" t="s">
        <v>377</v>
      </c>
      <c r="U55" s="5" t="s">
        <v>376</v>
      </c>
      <c r="V55" s="74"/>
      <c r="W55" s="74"/>
      <c r="X55" s="5" t="s">
        <v>378</v>
      </c>
      <c r="Y55" s="5" t="s">
        <v>937</v>
      </c>
    </row>
    <row r="56" spans="1:25" ht="228">
      <c r="A56" s="157">
        <v>55</v>
      </c>
      <c r="B56" s="75"/>
      <c r="C56" s="75"/>
      <c r="D56" s="32">
        <v>704</v>
      </c>
      <c r="E56" s="32" t="s">
        <v>27</v>
      </c>
      <c r="F56" s="71" t="s">
        <v>379</v>
      </c>
      <c r="G56" s="51" t="s">
        <v>380</v>
      </c>
      <c r="H56" s="51" t="s">
        <v>381</v>
      </c>
      <c r="I56" s="74" t="s">
        <v>382</v>
      </c>
      <c r="J56" s="72"/>
      <c r="K56" s="5" t="s">
        <v>383</v>
      </c>
      <c r="L56" s="439" t="s">
        <v>938</v>
      </c>
      <c r="M56" s="32" t="s">
        <v>161</v>
      </c>
      <c r="N56" s="78" t="s">
        <v>150</v>
      </c>
      <c r="O56" s="13"/>
      <c r="P56" s="13"/>
      <c r="Q56" s="5" t="s">
        <v>383</v>
      </c>
      <c r="R56" s="428" t="s">
        <v>930</v>
      </c>
      <c r="S56" s="5" t="s">
        <v>383</v>
      </c>
      <c r="T56" s="5" t="s">
        <v>384</v>
      </c>
      <c r="U56" s="5" t="s">
        <v>383</v>
      </c>
      <c r="V56" s="74"/>
      <c r="W56" s="74"/>
      <c r="X56" s="5" t="s">
        <v>384</v>
      </c>
      <c r="Y56" s="439" t="s">
        <v>938</v>
      </c>
    </row>
    <row r="57" spans="1:25" ht="216">
      <c r="A57" s="157">
        <v>56</v>
      </c>
      <c r="B57" s="70"/>
      <c r="C57" s="70"/>
      <c r="D57" s="32">
        <v>705</v>
      </c>
      <c r="E57" s="32" t="s">
        <v>385</v>
      </c>
      <c r="F57" s="71" t="s">
        <v>386</v>
      </c>
      <c r="G57" s="51" t="s">
        <v>387</v>
      </c>
      <c r="H57" s="51" t="s">
        <v>388</v>
      </c>
      <c r="I57" s="5" t="s">
        <v>389</v>
      </c>
      <c r="J57" s="72" t="s">
        <v>390</v>
      </c>
      <c r="K57" s="284" t="s">
        <v>829</v>
      </c>
      <c r="L57" s="285" t="s">
        <v>765</v>
      </c>
      <c r="M57" s="32" t="s">
        <v>161</v>
      </c>
      <c r="N57" s="78" t="s">
        <v>150</v>
      </c>
      <c r="O57" s="13"/>
      <c r="P57" s="13"/>
      <c r="Q57" s="284" t="s">
        <v>829</v>
      </c>
      <c r="R57" s="285" t="s">
        <v>765</v>
      </c>
      <c r="S57" s="284" t="s">
        <v>829</v>
      </c>
      <c r="T57" s="285" t="s">
        <v>765</v>
      </c>
      <c r="U57" s="5" t="s">
        <v>391</v>
      </c>
      <c r="V57" s="74" t="s">
        <v>392</v>
      </c>
      <c r="W57" s="74"/>
      <c r="X57" s="74" t="s">
        <v>393</v>
      </c>
      <c r="Y57" s="74" t="s">
        <v>394</v>
      </c>
    </row>
    <row r="58" spans="1:25" ht="123.75" customHeight="1">
      <c r="A58" s="157">
        <v>57</v>
      </c>
      <c r="B58" s="70"/>
      <c r="C58" s="70"/>
      <c r="D58" s="32">
        <v>727</v>
      </c>
      <c r="E58" s="32" t="s">
        <v>27</v>
      </c>
      <c r="F58" s="71" t="s">
        <v>395</v>
      </c>
      <c r="G58" s="51" t="s">
        <v>396</v>
      </c>
      <c r="H58" s="51" t="s">
        <v>397</v>
      </c>
      <c r="I58" s="74" t="s">
        <v>398</v>
      </c>
      <c r="J58" s="72" t="s">
        <v>399</v>
      </c>
      <c r="K58" s="5" t="s">
        <v>830</v>
      </c>
      <c r="L58" s="74" t="s">
        <v>830</v>
      </c>
      <c r="M58" s="32" t="s">
        <v>161</v>
      </c>
      <c r="N58" s="78" t="s">
        <v>150</v>
      </c>
      <c r="O58" s="13"/>
      <c r="P58" s="13"/>
      <c r="Q58" s="5" t="s">
        <v>830</v>
      </c>
      <c r="R58" s="74" t="s">
        <v>830</v>
      </c>
      <c r="S58" s="5" t="s">
        <v>830</v>
      </c>
      <c r="T58" s="74" t="s">
        <v>830</v>
      </c>
      <c r="U58" s="74" t="s">
        <v>826</v>
      </c>
      <c r="V58" s="74"/>
      <c r="W58" s="74"/>
      <c r="X58" s="74" t="s">
        <v>826</v>
      </c>
      <c r="Y58" s="74"/>
    </row>
    <row r="59" spans="1:25" ht="24">
      <c r="A59" s="157">
        <v>58</v>
      </c>
      <c r="B59" s="70"/>
      <c r="C59" s="70"/>
      <c r="D59" s="32">
        <v>728</v>
      </c>
      <c r="E59" s="32" t="s">
        <v>145</v>
      </c>
      <c r="F59" s="71" t="s">
        <v>400</v>
      </c>
      <c r="G59" s="51" t="s">
        <v>401</v>
      </c>
      <c r="H59" s="51" t="s">
        <v>402</v>
      </c>
      <c r="I59" s="74"/>
      <c r="J59" s="72"/>
      <c r="K59" s="193" t="s">
        <v>160</v>
      </c>
      <c r="L59" s="193" t="s">
        <v>160</v>
      </c>
      <c r="M59" s="32" t="s">
        <v>161</v>
      </c>
      <c r="N59" s="78" t="s">
        <v>150</v>
      </c>
      <c r="O59" s="13"/>
      <c r="P59" s="13"/>
      <c r="Q59" s="193" t="s">
        <v>160</v>
      </c>
      <c r="R59" s="193" t="s">
        <v>160</v>
      </c>
      <c r="S59" s="193" t="s">
        <v>160</v>
      </c>
      <c r="T59" s="193" t="s">
        <v>160</v>
      </c>
      <c r="U59" s="5" t="s">
        <v>160</v>
      </c>
      <c r="V59" s="74"/>
      <c r="W59" s="74"/>
      <c r="X59" s="5" t="s">
        <v>160</v>
      </c>
      <c r="Y59" s="75"/>
    </row>
    <row r="60" spans="1:25" ht="48">
      <c r="A60" s="157">
        <v>59</v>
      </c>
      <c r="B60" s="70"/>
      <c r="C60" s="70"/>
      <c r="D60" s="32">
        <v>737</v>
      </c>
      <c r="E60" s="32" t="s">
        <v>145</v>
      </c>
      <c r="F60" s="71" t="s">
        <v>403</v>
      </c>
      <c r="G60" s="51" t="s">
        <v>404</v>
      </c>
      <c r="H60" s="51" t="s">
        <v>405</v>
      </c>
      <c r="I60" s="74" t="s">
        <v>406</v>
      </c>
      <c r="J60" s="72" t="s">
        <v>407</v>
      </c>
      <c r="K60" s="5" t="s">
        <v>841</v>
      </c>
      <c r="L60" s="5" t="s">
        <v>841</v>
      </c>
      <c r="M60" s="32" t="s">
        <v>161</v>
      </c>
      <c r="N60" s="78" t="s">
        <v>150</v>
      </c>
      <c r="O60" s="13"/>
      <c r="P60" s="13"/>
      <c r="Q60" s="5" t="s">
        <v>841</v>
      </c>
      <c r="R60" s="5" t="s">
        <v>841</v>
      </c>
      <c r="S60" s="300" t="s">
        <v>841</v>
      </c>
      <c r="T60" s="300" t="s">
        <v>841</v>
      </c>
      <c r="U60" s="74" t="s">
        <v>408</v>
      </c>
      <c r="V60" s="5" t="s">
        <v>841</v>
      </c>
      <c r="W60" s="74"/>
      <c r="X60" s="74" t="s">
        <v>408</v>
      </c>
      <c r="Y60" s="5" t="s">
        <v>841</v>
      </c>
    </row>
    <row r="61" spans="1:25" ht="60">
      <c r="A61" s="157">
        <v>60</v>
      </c>
      <c r="B61" s="70"/>
      <c r="C61" s="70"/>
      <c r="D61" s="32">
        <v>746</v>
      </c>
      <c r="E61" s="32" t="s">
        <v>27</v>
      </c>
      <c r="F61" s="71" t="s">
        <v>409</v>
      </c>
      <c r="G61" s="51" t="s">
        <v>410</v>
      </c>
      <c r="H61" s="51" t="s">
        <v>411</v>
      </c>
      <c r="I61" s="74" t="s">
        <v>2</v>
      </c>
      <c r="J61" s="72"/>
      <c r="K61" s="74" t="s">
        <v>412</v>
      </c>
      <c r="L61" s="74" t="s">
        <v>412</v>
      </c>
      <c r="M61" s="32" t="s">
        <v>52</v>
      </c>
      <c r="N61" s="78" t="s">
        <v>150</v>
      </c>
      <c r="O61" s="13"/>
      <c r="P61" s="13"/>
      <c r="Q61" s="74" t="s">
        <v>412</v>
      </c>
      <c r="R61" s="74" t="s">
        <v>412</v>
      </c>
      <c r="S61" s="74" t="s">
        <v>412</v>
      </c>
      <c r="T61" s="74" t="s">
        <v>412</v>
      </c>
      <c r="U61" s="74" t="s">
        <v>412</v>
      </c>
      <c r="V61" s="74" t="s">
        <v>413</v>
      </c>
      <c r="W61" s="74"/>
      <c r="X61" s="74" t="s">
        <v>412</v>
      </c>
      <c r="Y61" s="75" t="s">
        <v>413</v>
      </c>
    </row>
    <row r="62" spans="1:25" ht="96">
      <c r="A62" s="157">
        <v>61</v>
      </c>
      <c r="B62" s="70"/>
      <c r="C62" s="70"/>
      <c r="D62" s="32">
        <v>747</v>
      </c>
      <c r="E62" s="32">
        <v>9</v>
      </c>
      <c r="F62" s="71" t="s">
        <v>414</v>
      </c>
      <c r="G62" s="51" t="s">
        <v>415</v>
      </c>
      <c r="H62" s="51" t="s">
        <v>416</v>
      </c>
      <c r="I62" s="74"/>
      <c r="J62" s="72" t="s">
        <v>417</v>
      </c>
      <c r="K62" s="5" t="s">
        <v>160</v>
      </c>
      <c r="L62" s="5" t="s">
        <v>160</v>
      </c>
      <c r="M62" s="32" t="s">
        <v>52</v>
      </c>
      <c r="N62" s="78" t="s">
        <v>150</v>
      </c>
      <c r="O62" s="13"/>
      <c r="P62" s="13"/>
      <c r="Q62" s="5" t="s">
        <v>160</v>
      </c>
      <c r="R62" s="5" t="s">
        <v>160</v>
      </c>
      <c r="S62" s="5" t="s">
        <v>160</v>
      </c>
      <c r="T62" s="5" t="s">
        <v>160</v>
      </c>
      <c r="U62" s="74" t="s">
        <v>977</v>
      </c>
      <c r="V62" s="5" t="s">
        <v>978</v>
      </c>
      <c r="W62" s="74"/>
      <c r="X62" s="74" t="s">
        <v>977</v>
      </c>
      <c r="Y62" s="5" t="s">
        <v>978</v>
      </c>
    </row>
    <row r="63" spans="1:25" ht="132">
      <c r="A63" s="157">
        <v>62</v>
      </c>
      <c r="B63" s="70"/>
      <c r="C63" s="70"/>
      <c r="D63" s="32">
        <v>748</v>
      </c>
      <c r="E63" s="32" t="s">
        <v>27</v>
      </c>
      <c r="F63" s="71" t="s">
        <v>418</v>
      </c>
      <c r="G63" s="51" t="s">
        <v>419</v>
      </c>
      <c r="H63" s="51" t="s">
        <v>420</v>
      </c>
      <c r="I63" s="74"/>
      <c r="J63" s="90"/>
      <c r="K63" s="193" t="s">
        <v>160</v>
      </c>
      <c r="L63" s="193" t="s">
        <v>160</v>
      </c>
      <c r="M63" s="32" t="s">
        <v>161</v>
      </c>
      <c r="N63" s="78" t="s">
        <v>296</v>
      </c>
      <c r="O63" s="13"/>
      <c r="P63" s="13"/>
      <c r="Q63" s="193" t="s">
        <v>160</v>
      </c>
      <c r="R63" s="193" t="s">
        <v>160</v>
      </c>
      <c r="S63" s="193" t="s">
        <v>160</v>
      </c>
      <c r="T63" s="193" t="s">
        <v>160</v>
      </c>
      <c r="U63" s="5" t="s">
        <v>160</v>
      </c>
      <c r="V63" s="74"/>
      <c r="W63" s="74"/>
      <c r="X63" s="5" t="s">
        <v>160</v>
      </c>
      <c r="Y63" s="75"/>
    </row>
    <row r="64" spans="1:25" ht="29.25" customHeight="1">
      <c r="A64" s="157">
        <v>63</v>
      </c>
      <c r="B64" s="100"/>
      <c r="C64" s="100"/>
      <c r="D64" s="103">
        <v>749</v>
      </c>
      <c r="E64" s="440" t="s">
        <v>421</v>
      </c>
      <c r="F64" s="441"/>
      <c r="G64" s="442" t="s">
        <v>422</v>
      </c>
      <c r="H64" s="442"/>
      <c r="I64" s="443"/>
      <c r="J64" s="444"/>
      <c r="K64" s="439" t="s">
        <v>931</v>
      </c>
      <c r="L64" s="439" t="s">
        <v>931</v>
      </c>
      <c r="M64" s="440"/>
      <c r="N64" s="445"/>
      <c r="O64" s="446"/>
      <c r="P64" s="446"/>
      <c r="Q64" s="439" t="s">
        <v>931</v>
      </c>
      <c r="R64" s="439" t="s">
        <v>931</v>
      </c>
      <c r="S64" s="439" t="s">
        <v>840</v>
      </c>
      <c r="T64" s="439" t="s">
        <v>840</v>
      </c>
      <c r="U64" s="439" t="s">
        <v>931</v>
      </c>
      <c r="V64" s="443"/>
      <c r="W64" s="443"/>
      <c r="X64" s="439" t="s">
        <v>931</v>
      </c>
      <c r="Y64" s="447"/>
    </row>
    <row r="65" spans="1:25" ht="48.75" customHeight="1">
      <c r="A65" s="299">
        <v>64</v>
      </c>
      <c r="B65" s="75"/>
      <c r="C65" s="75"/>
      <c r="D65" s="32">
        <v>749</v>
      </c>
      <c r="E65" s="32" t="s">
        <v>423</v>
      </c>
      <c r="F65" s="71"/>
      <c r="G65" s="51" t="s">
        <v>424</v>
      </c>
      <c r="H65" s="51" t="s">
        <v>425</v>
      </c>
      <c r="I65" s="74"/>
      <c r="J65" s="72" t="s">
        <v>821</v>
      </c>
      <c r="K65" s="193" t="s">
        <v>160</v>
      </c>
      <c r="L65" s="193" t="s">
        <v>160</v>
      </c>
      <c r="M65" s="32" t="s">
        <v>161</v>
      </c>
      <c r="N65" s="78" t="s">
        <v>150</v>
      </c>
      <c r="O65" s="13"/>
      <c r="P65" s="13"/>
      <c r="Q65" s="193" t="s">
        <v>160</v>
      </c>
      <c r="R65" s="193" t="s">
        <v>160</v>
      </c>
      <c r="S65" s="193" t="s">
        <v>160</v>
      </c>
      <c r="T65" s="193" t="s">
        <v>160</v>
      </c>
      <c r="U65" s="5" t="s">
        <v>160</v>
      </c>
      <c r="V65" s="74" t="s">
        <v>426</v>
      </c>
      <c r="W65" s="74"/>
      <c r="X65" s="5" t="s">
        <v>160</v>
      </c>
      <c r="Y65" s="74" t="s">
        <v>426</v>
      </c>
    </row>
    <row r="66" spans="1:25" ht="48">
      <c r="A66" s="299">
        <v>65</v>
      </c>
      <c r="B66" s="75"/>
      <c r="C66" s="75"/>
      <c r="D66" s="78">
        <v>752</v>
      </c>
      <c r="E66" s="78" t="s">
        <v>277</v>
      </c>
      <c r="F66" s="71"/>
      <c r="G66" s="51" t="s">
        <v>427</v>
      </c>
      <c r="H66" s="51" t="s">
        <v>428</v>
      </c>
      <c r="I66" s="74"/>
      <c r="J66" s="72" t="s">
        <v>821</v>
      </c>
      <c r="K66" s="193" t="s">
        <v>160</v>
      </c>
      <c r="L66" s="193" t="s">
        <v>160</v>
      </c>
      <c r="M66" s="32" t="s">
        <v>161</v>
      </c>
      <c r="N66" s="78" t="s">
        <v>150</v>
      </c>
      <c r="O66" s="13"/>
      <c r="P66" s="13"/>
      <c r="Q66" s="193" t="s">
        <v>160</v>
      </c>
      <c r="R66" s="193" t="s">
        <v>160</v>
      </c>
      <c r="S66" s="193" t="s">
        <v>160</v>
      </c>
      <c r="T66" s="193" t="s">
        <v>160</v>
      </c>
      <c r="U66" s="5" t="s">
        <v>160</v>
      </c>
      <c r="V66" s="74" t="s">
        <v>429</v>
      </c>
      <c r="W66" s="74"/>
      <c r="X66" s="5" t="s">
        <v>160</v>
      </c>
      <c r="Y66" s="74" t="s">
        <v>429</v>
      </c>
    </row>
    <row r="67" spans="1:25" ht="108">
      <c r="A67" s="157">
        <v>66</v>
      </c>
      <c r="B67" s="70"/>
      <c r="C67" s="70"/>
      <c r="D67" s="32">
        <v>761</v>
      </c>
      <c r="E67" s="32" t="s">
        <v>27</v>
      </c>
      <c r="F67" s="71" t="s">
        <v>430</v>
      </c>
      <c r="G67" s="51" t="s">
        <v>431</v>
      </c>
      <c r="H67" s="51" t="s">
        <v>432</v>
      </c>
      <c r="I67" s="74"/>
      <c r="J67" s="72"/>
      <c r="K67" s="193" t="s">
        <v>160</v>
      </c>
      <c r="L67" s="193" t="s">
        <v>160</v>
      </c>
      <c r="M67" s="32" t="s">
        <v>161</v>
      </c>
      <c r="N67" s="78" t="s">
        <v>296</v>
      </c>
      <c r="O67" s="13"/>
      <c r="P67" s="13"/>
      <c r="Q67" s="193" t="s">
        <v>160</v>
      </c>
      <c r="R67" s="193" t="s">
        <v>160</v>
      </c>
      <c r="S67" s="193" t="s">
        <v>160</v>
      </c>
      <c r="T67" s="193" t="s">
        <v>160</v>
      </c>
      <c r="U67" s="5" t="s">
        <v>160</v>
      </c>
      <c r="V67" s="74"/>
      <c r="W67" s="74"/>
      <c r="X67" s="5" t="s">
        <v>160</v>
      </c>
      <c r="Y67" s="75"/>
    </row>
    <row r="68" spans="1:25" ht="24">
      <c r="A68" s="157">
        <v>67</v>
      </c>
      <c r="B68" s="75"/>
      <c r="C68" s="75"/>
      <c r="D68" s="78">
        <v>762</v>
      </c>
      <c r="E68" s="78" t="s">
        <v>433</v>
      </c>
      <c r="F68" s="71" t="s">
        <v>434</v>
      </c>
      <c r="G68" s="51" t="s">
        <v>435</v>
      </c>
      <c r="H68" s="51" t="s">
        <v>436</v>
      </c>
      <c r="I68" s="74"/>
      <c r="J68" s="72"/>
      <c r="K68" s="193" t="s">
        <v>160</v>
      </c>
      <c r="L68" s="193" t="s">
        <v>160</v>
      </c>
      <c r="M68" s="32" t="s">
        <v>161</v>
      </c>
      <c r="N68" s="78" t="s">
        <v>150</v>
      </c>
      <c r="O68" s="13"/>
      <c r="P68" s="13"/>
      <c r="Q68" s="193" t="s">
        <v>160</v>
      </c>
      <c r="R68" s="193" t="s">
        <v>160</v>
      </c>
      <c r="S68" s="193" t="s">
        <v>160</v>
      </c>
      <c r="T68" s="193" t="s">
        <v>160</v>
      </c>
      <c r="U68" s="5" t="s">
        <v>160</v>
      </c>
      <c r="V68" s="74"/>
      <c r="W68" s="74"/>
      <c r="X68" s="5" t="s">
        <v>160</v>
      </c>
      <c r="Y68" s="75"/>
    </row>
    <row r="69" spans="1:25" ht="48">
      <c r="A69" s="157">
        <v>68</v>
      </c>
      <c r="B69" s="75"/>
      <c r="C69" s="75"/>
      <c r="D69" s="78">
        <v>777</v>
      </c>
      <c r="E69" s="78" t="s">
        <v>437</v>
      </c>
      <c r="F69" s="71" t="s">
        <v>438</v>
      </c>
      <c r="G69" s="51" t="s">
        <v>439</v>
      </c>
      <c r="H69" s="51" t="s">
        <v>440</v>
      </c>
      <c r="I69" s="74"/>
      <c r="J69" s="72" t="s">
        <v>441</v>
      </c>
      <c r="K69" s="193" t="s">
        <v>160</v>
      </c>
      <c r="L69" s="193" t="s">
        <v>160</v>
      </c>
      <c r="M69" s="32"/>
      <c r="N69" s="78" t="s">
        <v>150</v>
      </c>
      <c r="O69" s="13"/>
      <c r="P69" s="13"/>
      <c r="Q69" s="193" t="s">
        <v>160</v>
      </c>
      <c r="R69" s="193" t="s">
        <v>160</v>
      </c>
      <c r="S69" s="193" t="s">
        <v>160</v>
      </c>
      <c r="T69" s="193" t="s">
        <v>160</v>
      </c>
      <c r="U69" s="5" t="s">
        <v>160</v>
      </c>
      <c r="V69" s="74"/>
      <c r="W69" s="74"/>
      <c r="X69" s="5" t="s">
        <v>160</v>
      </c>
      <c r="Y69" s="75"/>
    </row>
    <row r="70" spans="1:25" ht="24">
      <c r="A70" s="157">
        <v>69</v>
      </c>
      <c r="B70" s="101"/>
      <c r="C70" s="101"/>
      <c r="D70" s="103">
        <v>781</v>
      </c>
      <c r="E70" s="103" t="s">
        <v>27</v>
      </c>
      <c r="F70" s="93"/>
      <c r="G70" s="106" t="s">
        <v>442</v>
      </c>
      <c r="H70" s="106" t="s">
        <v>159</v>
      </c>
      <c r="I70" s="99"/>
      <c r="J70" s="94"/>
      <c r="K70" s="112" t="s">
        <v>242</v>
      </c>
      <c r="L70" s="112" t="s">
        <v>160</v>
      </c>
      <c r="M70" s="146" t="s">
        <v>161</v>
      </c>
      <c r="N70" s="175"/>
      <c r="O70" s="96"/>
      <c r="P70" s="96"/>
      <c r="Q70" s="112" t="s">
        <v>242</v>
      </c>
      <c r="R70" s="112" t="s">
        <v>160</v>
      </c>
      <c r="S70" s="112" t="s">
        <v>242</v>
      </c>
      <c r="T70" s="112" t="s">
        <v>160</v>
      </c>
      <c r="U70" s="112" t="s">
        <v>160</v>
      </c>
      <c r="V70" s="99"/>
      <c r="W70" s="99"/>
      <c r="X70" s="112" t="s">
        <v>160</v>
      </c>
      <c r="Y70" s="100"/>
    </row>
    <row r="71" spans="1:25" ht="24">
      <c r="A71" s="157">
        <v>70</v>
      </c>
      <c r="B71" s="101"/>
      <c r="C71" s="101"/>
      <c r="D71" s="103">
        <v>782</v>
      </c>
      <c r="E71" s="103" t="s">
        <v>27</v>
      </c>
      <c r="F71" s="93"/>
      <c r="G71" s="106" t="s">
        <v>443</v>
      </c>
      <c r="H71" s="106" t="s">
        <v>159</v>
      </c>
      <c r="I71" s="99"/>
      <c r="J71" s="94"/>
      <c r="K71" s="112" t="s">
        <v>242</v>
      </c>
      <c r="L71" s="112" t="s">
        <v>160</v>
      </c>
      <c r="M71" s="146" t="s">
        <v>161</v>
      </c>
      <c r="N71" s="175"/>
      <c r="O71" s="96"/>
      <c r="P71" s="96"/>
      <c r="Q71" s="112" t="s">
        <v>242</v>
      </c>
      <c r="R71" s="112" t="s">
        <v>160</v>
      </c>
      <c r="S71" s="112" t="s">
        <v>242</v>
      </c>
      <c r="T71" s="112" t="s">
        <v>160</v>
      </c>
      <c r="U71" s="112" t="s">
        <v>160</v>
      </c>
      <c r="V71" s="99"/>
      <c r="W71" s="99"/>
      <c r="X71" s="112" t="s">
        <v>160</v>
      </c>
      <c r="Y71" s="100"/>
    </row>
    <row r="72" spans="1:25" ht="120">
      <c r="A72" s="157">
        <v>71</v>
      </c>
      <c r="B72" s="101"/>
      <c r="C72" s="101"/>
      <c r="D72" s="103">
        <v>783</v>
      </c>
      <c r="E72" s="103" t="s">
        <v>260</v>
      </c>
      <c r="F72" s="93"/>
      <c r="G72" s="105" t="s">
        <v>444</v>
      </c>
      <c r="H72" s="113" t="s">
        <v>445</v>
      </c>
      <c r="I72" s="95"/>
      <c r="J72" s="199"/>
      <c r="K72" s="122" t="s">
        <v>160</v>
      </c>
      <c r="L72" s="122" t="s">
        <v>160</v>
      </c>
      <c r="M72" s="103" t="s">
        <v>161</v>
      </c>
      <c r="N72" s="173"/>
      <c r="O72" s="99"/>
      <c r="P72" s="99"/>
      <c r="Q72" s="122" t="s">
        <v>160</v>
      </c>
      <c r="R72" s="122" t="s">
        <v>160</v>
      </c>
      <c r="S72" s="122" t="s">
        <v>160</v>
      </c>
      <c r="T72" s="122" t="s">
        <v>160</v>
      </c>
      <c r="U72" s="122" t="s">
        <v>160</v>
      </c>
      <c r="V72" s="100"/>
      <c r="W72" s="100"/>
      <c r="X72" s="122" t="s">
        <v>160</v>
      </c>
      <c r="Y72" s="97"/>
    </row>
    <row r="73" spans="1:25" ht="120">
      <c r="A73" s="157">
        <v>72</v>
      </c>
      <c r="B73" s="101"/>
      <c r="C73" s="101"/>
      <c r="D73" s="103">
        <v>807</v>
      </c>
      <c r="E73" s="103" t="s">
        <v>260</v>
      </c>
      <c r="F73" s="93"/>
      <c r="G73" s="105" t="s">
        <v>446</v>
      </c>
      <c r="H73" s="113" t="s">
        <v>445</v>
      </c>
      <c r="I73" s="95"/>
      <c r="J73" s="199"/>
      <c r="K73" s="122" t="s">
        <v>160</v>
      </c>
      <c r="L73" s="122" t="s">
        <v>160</v>
      </c>
      <c r="M73" s="103" t="s">
        <v>161</v>
      </c>
      <c r="N73" s="173"/>
      <c r="O73" s="99"/>
      <c r="P73" s="99"/>
      <c r="Q73" s="122" t="s">
        <v>160</v>
      </c>
      <c r="R73" s="122" t="s">
        <v>160</v>
      </c>
      <c r="S73" s="122" t="s">
        <v>160</v>
      </c>
      <c r="T73" s="122" t="s">
        <v>160</v>
      </c>
      <c r="U73" s="122" t="s">
        <v>160</v>
      </c>
      <c r="V73" s="100"/>
      <c r="W73" s="100"/>
      <c r="X73" s="122" t="s">
        <v>160</v>
      </c>
      <c r="Y73" s="97"/>
    </row>
    <row r="74" spans="1:25" ht="24">
      <c r="A74" s="157">
        <v>73</v>
      </c>
      <c r="B74" s="101"/>
      <c r="C74" s="101"/>
      <c r="D74" s="103">
        <v>831</v>
      </c>
      <c r="E74" s="103" t="s">
        <v>447</v>
      </c>
      <c r="F74" s="93"/>
      <c r="G74" s="137" t="s">
        <v>448</v>
      </c>
      <c r="H74" s="105" t="s">
        <v>449</v>
      </c>
      <c r="I74" s="99"/>
      <c r="J74" s="94"/>
      <c r="K74" s="112" t="s">
        <v>450</v>
      </c>
      <c r="L74" s="112" t="s">
        <v>285</v>
      </c>
      <c r="M74" s="103" t="s">
        <v>58</v>
      </c>
      <c r="N74" s="175"/>
      <c r="O74" s="96"/>
      <c r="P74" s="96"/>
      <c r="Q74" s="112" t="s">
        <v>450</v>
      </c>
      <c r="R74" s="112" t="s">
        <v>285</v>
      </c>
      <c r="S74" s="112" t="s">
        <v>450</v>
      </c>
      <c r="T74" s="112" t="s">
        <v>285</v>
      </c>
      <c r="U74" s="112" t="s">
        <v>285</v>
      </c>
      <c r="V74" s="99" t="s">
        <v>451</v>
      </c>
      <c r="W74" s="99"/>
      <c r="X74" s="112" t="s">
        <v>285</v>
      </c>
      <c r="Y74" s="99" t="s">
        <v>451</v>
      </c>
    </row>
    <row r="75" spans="1:25" ht="48">
      <c r="A75" s="157">
        <v>74</v>
      </c>
      <c r="B75" s="101"/>
      <c r="C75" s="101"/>
      <c r="D75" s="103">
        <v>839</v>
      </c>
      <c r="E75" s="103" t="s">
        <v>447</v>
      </c>
      <c r="F75" s="93"/>
      <c r="G75" s="137" t="s">
        <v>452</v>
      </c>
      <c r="H75" s="105" t="s">
        <v>453</v>
      </c>
      <c r="I75" s="99"/>
      <c r="J75" s="94"/>
      <c r="K75" s="112" t="s">
        <v>285</v>
      </c>
      <c r="L75" s="112" t="s">
        <v>285</v>
      </c>
      <c r="M75" s="103" t="s">
        <v>58</v>
      </c>
      <c r="N75" s="175"/>
      <c r="O75" s="96"/>
      <c r="P75" s="96"/>
      <c r="Q75" s="112" t="s">
        <v>285</v>
      </c>
      <c r="R75" s="112" t="s">
        <v>285</v>
      </c>
      <c r="S75" s="112" t="s">
        <v>285</v>
      </c>
      <c r="T75" s="112" t="s">
        <v>285</v>
      </c>
      <c r="U75" s="112" t="s">
        <v>285</v>
      </c>
      <c r="V75" s="99"/>
      <c r="W75" s="99"/>
      <c r="X75" s="112" t="s">
        <v>285</v>
      </c>
      <c r="Y75" s="100"/>
    </row>
    <row r="76" spans="1:25" ht="216">
      <c r="A76" s="157">
        <v>75</v>
      </c>
      <c r="B76" s="70"/>
      <c r="C76" s="70"/>
      <c r="D76" s="32">
        <v>847</v>
      </c>
      <c r="E76" s="32" t="s">
        <v>454</v>
      </c>
      <c r="F76" s="71" t="s">
        <v>455</v>
      </c>
      <c r="G76" s="51" t="s">
        <v>456</v>
      </c>
      <c r="H76" s="51" t="s">
        <v>457</v>
      </c>
      <c r="I76" s="5" t="s">
        <v>458</v>
      </c>
      <c r="J76" s="72" t="s">
        <v>459</v>
      </c>
      <c r="K76" s="74" t="s">
        <v>960</v>
      </c>
      <c r="L76" s="74" t="s">
        <v>960</v>
      </c>
      <c r="M76" s="32" t="s">
        <v>161</v>
      </c>
      <c r="N76" s="78" t="s">
        <v>150</v>
      </c>
      <c r="O76" s="13"/>
      <c r="P76" s="13"/>
      <c r="Q76" s="284" t="s">
        <v>788</v>
      </c>
      <c r="R76" s="285" t="s">
        <v>789</v>
      </c>
      <c r="S76" s="284" t="s">
        <v>788</v>
      </c>
      <c r="T76" s="285" t="s">
        <v>789</v>
      </c>
      <c r="U76" s="5" t="s">
        <v>460</v>
      </c>
      <c r="V76" s="74" t="s">
        <v>461</v>
      </c>
      <c r="W76" s="74"/>
      <c r="X76" s="5" t="s">
        <v>460</v>
      </c>
      <c r="Y76" s="74" t="s">
        <v>461</v>
      </c>
    </row>
    <row r="77" spans="1:25" ht="276">
      <c r="A77" s="157">
        <v>76</v>
      </c>
      <c r="B77" s="75"/>
      <c r="C77" s="75"/>
      <c r="D77" s="32">
        <v>848</v>
      </c>
      <c r="E77" s="32" t="s">
        <v>454</v>
      </c>
      <c r="F77" s="71" t="s">
        <v>462</v>
      </c>
      <c r="G77" s="51" t="s">
        <v>463</v>
      </c>
      <c r="H77" s="51" t="s">
        <v>464</v>
      </c>
      <c r="I77" s="5" t="s">
        <v>465</v>
      </c>
      <c r="J77" s="72" t="s">
        <v>466</v>
      </c>
      <c r="K77" s="284" t="s">
        <v>794</v>
      </c>
      <c r="L77" s="285" t="s">
        <v>795</v>
      </c>
      <c r="M77" s="32" t="s">
        <v>161</v>
      </c>
      <c r="N77" s="78" t="s">
        <v>150</v>
      </c>
      <c r="O77" s="13"/>
      <c r="P77" s="13"/>
      <c r="Q77" s="284" t="s">
        <v>794</v>
      </c>
      <c r="R77" s="285" t="s">
        <v>795</v>
      </c>
      <c r="S77" s="284" t="s">
        <v>794</v>
      </c>
      <c r="T77" s="285" t="s">
        <v>795</v>
      </c>
      <c r="U77" s="5" t="s">
        <v>468</v>
      </c>
      <c r="V77" s="115" t="s">
        <v>469</v>
      </c>
      <c r="W77" s="115"/>
      <c r="X77" s="5" t="s">
        <v>468</v>
      </c>
      <c r="Y77" s="5" t="s">
        <v>467</v>
      </c>
    </row>
    <row r="78" spans="1:25" ht="276">
      <c r="A78" s="157">
        <v>77</v>
      </c>
      <c r="B78" s="70"/>
      <c r="C78" s="70"/>
      <c r="D78" s="32">
        <v>849</v>
      </c>
      <c r="E78" s="32" t="s">
        <v>454</v>
      </c>
      <c r="F78" s="41" t="s">
        <v>470</v>
      </c>
      <c r="G78" s="51" t="s">
        <v>471</v>
      </c>
      <c r="H78" s="51" t="s">
        <v>472</v>
      </c>
      <c r="I78" s="74" t="s">
        <v>473</v>
      </c>
      <c r="J78" s="72" t="s">
        <v>474</v>
      </c>
      <c r="K78" s="301" t="s">
        <v>831</v>
      </c>
      <c r="L78" s="302" t="s">
        <v>831</v>
      </c>
      <c r="M78" s="32"/>
      <c r="N78" s="78" t="s">
        <v>150</v>
      </c>
      <c r="O78" s="13"/>
      <c r="P78" s="13"/>
      <c r="Q78" s="301" t="s">
        <v>831</v>
      </c>
      <c r="R78" s="302" t="s">
        <v>831</v>
      </c>
      <c r="S78" s="301" t="s">
        <v>831</v>
      </c>
      <c r="T78" s="302" t="s">
        <v>831</v>
      </c>
      <c r="U78" s="5" t="s">
        <v>475</v>
      </c>
      <c r="V78" s="74"/>
      <c r="W78" s="74"/>
      <c r="X78" s="5" t="s">
        <v>475</v>
      </c>
      <c r="Y78" s="75"/>
    </row>
    <row r="79" spans="1:25" ht="180">
      <c r="A79" s="157">
        <v>78</v>
      </c>
      <c r="B79" s="70"/>
      <c r="C79" s="70"/>
      <c r="D79" s="32">
        <v>850</v>
      </c>
      <c r="E79" s="32" t="s">
        <v>454</v>
      </c>
      <c r="F79" s="71" t="s">
        <v>476</v>
      </c>
      <c r="G79" s="51" t="s">
        <v>477</v>
      </c>
      <c r="H79" s="51" t="s">
        <v>478</v>
      </c>
      <c r="I79" s="74"/>
      <c r="J79" s="72" t="s">
        <v>479</v>
      </c>
      <c r="K79" s="191" t="s">
        <v>160</v>
      </c>
      <c r="L79" s="191" t="s">
        <v>480</v>
      </c>
      <c r="M79" s="32"/>
      <c r="N79" s="78" t="s">
        <v>150</v>
      </c>
      <c r="O79" s="13"/>
      <c r="P79" s="13"/>
      <c r="Q79" s="191" t="s">
        <v>160</v>
      </c>
      <c r="R79" s="191" t="s">
        <v>480</v>
      </c>
      <c r="S79" s="191" t="s">
        <v>160</v>
      </c>
      <c r="T79" s="191" t="s">
        <v>480</v>
      </c>
      <c r="U79" s="74" t="s">
        <v>160</v>
      </c>
      <c r="V79" s="51"/>
      <c r="W79" s="51"/>
      <c r="X79" s="74" t="s">
        <v>160</v>
      </c>
      <c r="Y79" s="75"/>
    </row>
    <row r="80" spans="1:25">
      <c r="A80" s="157">
        <v>79</v>
      </c>
      <c r="B80" s="101"/>
      <c r="C80" s="101"/>
      <c r="D80" s="103">
        <v>851</v>
      </c>
      <c r="E80" s="103" t="s">
        <v>27</v>
      </c>
      <c r="F80" s="93"/>
      <c r="G80" s="106" t="s">
        <v>481</v>
      </c>
      <c r="H80" s="105" t="s">
        <v>159</v>
      </c>
      <c r="I80" s="99"/>
      <c r="J80" s="94"/>
      <c r="K80" s="192" t="s">
        <v>160</v>
      </c>
      <c r="L80" s="192" t="s">
        <v>160</v>
      </c>
      <c r="M80" s="139"/>
      <c r="N80" s="175"/>
      <c r="O80" s="96"/>
      <c r="P80" s="96"/>
      <c r="Q80" s="192" t="s">
        <v>160</v>
      </c>
      <c r="R80" s="192" t="s">
        <v>160</v>
      </c>
      <c r="S80" s="192" t="s">
        <v>160</v>
      </c>
      <c r="T80" s="192" t="s">
        <v>160</v>
      </c>
      <c r="U80" s="99" t="s">
        <v>160</v>
      </c>
      <c r="V80" s="105"/>
      <c r="W80" s="105"/>
      <c r="X80" s="99" t="s">
        <v>160</v>
      </c>
      <c r="Y80" s="100"/>
    </row>
    <row r="81" spans="1:25" ht="24">
      <c r="A81" s="157">
        <v>80</v>
      </c>
      <c r="B81" s="101"/>
      <c r="C81" s="101"/>
      <c r="D81" s="103">
        <v>852</v>
      </c>
      <c r="E81" s="103" t="s">
        <v>162</v>
      </c>
      <c r="F81" s="93"/>
      <c r="G81" s="105" t="s">
        <v>482</v>
      </c>
      <c r="H81" s="105" t="s">
        <v>483</v>
      </c>
      <c r="I81" s="95"/>
      <c r="J81" s="199"/>
      <c r="K81" s="192" t="s">
        <v>160</v>
      </c>
      <c r="L81" s="192" t="s">
        <v>160</v>
      </c>
      <c r="M81" s="99"/>
      <c r="N81" s="173"/>
      <c r="O81" s="99"/>
      <c r="P81" s="99"/>
      <c r="Q81" s="192" t="s">
        <v>160</v>
      </c>
      <c r="R81" s="192" t="s">
        <v>160</v>
      </c>
      <c r="S81" s="192" t="s">
        <v>160</v>
      </c>
      <c r="T81" s="192" t="s">
        <v>160</v>
      </c>
      <c r="U81" s="100" t="s">
        <v>160</v>
      </c>
      <c r="V81" s="100"/>
      <c r="W81" s="100"/>
      <c r="X81" s="100" t="s">
        <v>160</v>
      </c>
      <c r="Y81" s="97"/>
    </row>
    <row r="82" spans="1:25" ht="24">
      <c r="A82" s="157">
        <v>81</v>
      </c>
      <c r="B82" s="100"/>
      <c r="C82" s="100"/>
      <c r="D82" s="103">
        <v>857</v>
      </c>
      <c r="E82" s="103" t="s">
        <v>484</v>
      </c>
      <c r="F82" s="93"/>
      <c r="G82" s="105" t="s">
        <v>485</v>
      </c>
      <c r="H82" s="105" t="s">
        <v>483</v>
      </c>
      <c r="I82" s="141"/>
      <c r="J82" s="199"/>
      <c r="K82" s="192" t="s">
        <v>160</v>
      </c>
      <c r="L82" s="192" t="s">
        <v>160</v>
      </c>
      <c r="M82" s="103" t="s">
        <v>2</v>
      </c>
      <c r="N82" s="173"/>
      <c r="O82" s="142"/>
      <c r="P82" s="142"/>
      <c r="Q82" s="192" t="s">
        <v>160</v>
      </c>
      <c r="R82" s="192" t="s">
        <v>160</v>
      </c>
      <c r="S82" s="192" t="s">
        <v>160</v>
      </c>
      <c r="T82" s="192" t="s">
        <v>160</v>
      </c>
      <c r="U82" s="100" t="s">
        <v>160</v>
      </c>
      <c r="V82" s="100"/>
      <c r="W82" s="100"/>
      <c r="X82" s="100" t="s">
        <v>160</v>
      </c>
      <c r="Y82" s="97"/>
    </row>
    <row r="83" spans="1:25">
      <c r="A83" s="157">
        <v>82</v>
      </c>
      <c r="B83" s="100"/>
      <c r="C83" s="100"/>
      <c r="D83" s="103">
        <v>869</v>
      </c>
      <c r="E83" s="103" t="s">
        <v>286</v>
      </c>
      <c r="F83" s="93"/>
      <c r="G83" s="106" t="s">
        <v>486</v>
      </c>
      <c r="H83" s="105" t="s">
        <v>159</v>
      </c>
      <c r="I83" s="141"/>
      <c r="J83" s="199"/>
      <c r="K83" s="192" t="s">
        <v>160</v>
      </c>
      <c r="L83" s="192" t="s">
        <v>160</v>
      </c>
      <c r="M83" s="103"/>
      <c r="N83" s="173"/>
      <c r="O83" s="142"/>
      <c r="P83" s="142"/>
      <c r="Q83" s="192" t="s">
        <v>160</v>
      </c>
      <c r="R83" s="192" t="s">
        <v>160</v>
      </c>
      <c r="S83" s="192" t="s">
        <v>160</v>
      </c>
      <c r="T83" s="192" t="s">
        <v>160</v>
      </c>
      <c r="U83" s="122" t="s">
        <v>160</v>
      </c>
      <c r="V83" s="100"/>
      <c r="W83" s="100"/>
      <c r="X83" s="122" t="s">
        <v>160</v>
      </c>
      <c r="Y83" s="97"/>
    </row>
    <row r="84" spans="1:25" ht="168">
      <c r="A84" s="157">
        <v>83</v>
      </c>
      <c r="B84" s="38" t="s">
        <v>2</v>
      </c>
      <c r="C84" s="38"/>
      <c r="D84" s="32">
        <v>873</v>
      </c>
      <c r="E84" s="32">
        <v>9</v>
      </c>
      <c r="F84" s="82"/>
      <c r="G84" s="51" t="s">
        <v>487</v>
      </c>
      <c r="H84" s="51" t="s">
        <v>488</v>
      </c>
      <c r="I84" s="51"/>
      <c r="J84" s="90"/>
      <c r="K84" s="73" t="s">
        <v>489</v>
      </c>
      <c r="L84" s="73" t="s">
        <v>489</v>
      </c>
      <c r="M84" s="32" t="s">
        <v>52</v>
      </c>
      <c r="N84" s="125" t="s">
        <v>150</v>
      </c>
      <c r="O84" s="13"/>
      <c r="P84" s="13"/>
      <c r="Q84" s="73" t="s">
        <v>489</v>
      </c>
      <c r="R84" s="73" t="s">
        <v>489</v>
      </c>
      <c r="S84" s="73" t="s">
        <v>489</v>
      </c>
      <c r="T84" s="73" t="s">
        <v>489</v>
      </c>
      <c r="U84" s="73" t="s">
        <v>489</v>
      </c>
      <c r="V84" s="51"/>
      <c r="W84" s="51"/>
      <c r="X84" s="73" t="s">
        <v>489</v>
      </c>
      <c r="Y84" s="12"/>
    </row>
    <row r="85" spans="1:25" ht="24">
      <c r="A85" s="157">
        <v>84</v>
      </c>
      <c r="B85" s="102"/>
      <c r="C85" s="102"/>
      <c r="D85" s="103">
        <v>874</v>
      </c>
      <c r="E85" s="103" t="s">
        <v>490</v>
      </c>
      <c r="F85" s="104"/>
      <c r="G85" s="105" t="s">
        <v>491</v>
      </c>
      <c r="H85" s="105" t="s">
        <v>492</v>
      </c>
      <c r="I85" s="105"/>
      <c r="J85" s="109"/>
      <c r="K85" s="85" t="s">
        <v>174</v>
      </c>
      <c r="L85" s="85" t="s">
        <v>174</v>
      </c>
      <c r="M85" s="103" t="s">
        <v>58</v>
      </c>
      <c r="N85" s="174" t="s">
        <v>2</v>
      </c>
      <c r="O85" s="178"/>
      <c r="P85" s="178"/>
      <c r="Q85" s="85" t="s">
        <v>174</v>
      </c>
      <c r="R85" s="85" t="s">
        <v>174</v>
      </c>
      <c r="S85" s="85" t="s">
        <v>174</v>
      </c>
      <c r="T85" s="85" t="s">
        <v>174</v>
      </c>
      <c r="U85" s="85" t="s">
        <v>174</v>
      </c>
      <c r="V85" s="105"/>
      <c r="W85" s="105"/>
      <c r="X85" s="85" t="s">
        <v>174</v>
      </c>
      <c r="Y85" s="102"/>
    </row>
    <row r="86" spans="1:25" ht="24">
      <c r="A86" s="157">
        <v>85</v>
      </c>
      <c r="B86" s="101"/>
      <c r="C86" s="101"/>
      <c r="D86" s="103">
        <v>879</v>
      </c>
      <c r="E86" s="103" t="s">
        <v>145</v>
      </c>
      <c r="F86" s="93"/>
      <c r="G86" s="105" t="s">
        <v>493</v>
      </c>
      <c r="H86" s="105" t="s">
        <v>494</v>
      </c>
      <c r="I86" s="99"/>
      <c r="J86" s="94"/>
      <c r="K86" s="99" t="s">
        <v>160</v>
      </c>
      <c r="L86" s="99" t="s">
        <v>160</v>
      </c>
      <c r="M86" s="103" t="s">
        <v>2</v>
      </c>
      <c r="N86" s="175"/>
      <c r="O86" s="96"/>
      <c r="P86" s="96"/>
      <c r="Q86" s="99" t="s">
        <v>160</v>
      </c>
      <c r="R86" s="99" t="s">
        <v>160</v>
      </c>
      <c r="S86" s="99" t="s">
        <v>160</v>
      </c>
      <c r="T86" s="99" t="s">
        <v>160</v>
      </c>
      <c r="U86" s="99" t="s">
        <v>160</v>
      </c>
      <c r="V86" s="99"/>
      <c r="W86" s="99"/>
      <c r="X86" s="99" t="s">
        <v>160</v>
      </c>
      <c r="Y86" s="100"/>
    </row>
    <row r="87" spans="1:25" ht="48">
      <c r="A87" s="157">
        <v>86</v>
      </c>
      <c r="B87" s="101"/>
      <c r="C87" s="101"/>
      <c r="D87" s="103">
        <v>888</v>
      </c>
      <c r="E87" s="103" t="s">
        <v>145</v>
      </c>
      <c r="F87" s="93"/>
      <c r="G87" s="105" t="s">
        <v>495</v>
      </c>
      <c r="H87" s="111" t="s">
        <v>496</v>
      </c>
      <c r="I87" s="99"/>
      <c r="J87" s="94"/>
      <c r="K87" s="99" t="s">
        <v>160</v>
      </c>
      <c r="L87" s="99" t="s">
        <v>160</v>
      </c>
      <c r="M87" s="103"/>
      <c r="N87" s="175"/>
      <c r="O87" s="96"/>
      <c r="P87" s="96"/>
      <c r="Q87" s="99" t="s">
        <v>160</v>
      </c>
      <c r="R87" s="99" t="s">
        <v>160</v>
      </c>
      <c r="S87" s="99" t="s">
        <v>160</v>
      </c>
      <c r="T87" s="99" t="s">
        <v>160</v>
      </c>
      <c r="U87" s="99" t="s">
        <v>160</v>
      </c>
      <c r="V87" s="99"/>
      <c r="W87" s="99"/>
      <c r="X87" s="99" t="s">
        <v>160</v>
      </c>
      <c r="Y87" s="100"/>
    </row>
    <row r="88" spans="1:25" ht="24">
      <c r="A88" s="157">
        <v>87</v>
      </c>
      <c r="B88" s="101"/>
      <c r="C88" s="101"/>
      <c r="D88" s="103">
        <v>897</v>
      </c>
      <c r="E88" s="103" t="s">
        <v>27</v>
      </c>
      <c r="F88" s="93"/>
      <c r="G88" s="105" t="s">
        <v>497</v>
      </c>
      <c r="H88" s="105" t="s">
        <v>494</v>
      </c>
      <c r="I88" s="99"/>
      <c r="J88" s="94"/>
      <c r="K88" s="112" t="s">
        <v>242</v>
      </c>
      <c r="L88" s="112" t="s">
        <v>160</v>
      </c>
      <c r="M88" s="103" t="s">
        <v>2</v>
      </c>
      <c r="N88" s="175"/>
      <c r="O88" s="96"/>
      <c r="P88" s="96"/>
      <c r="Q88" s="112" t="s">
        <v>242</v>
      </c>
      <c r="R88" s="112" t="s">
        <v>160</v>
      </c>
      <c r="S88" s="112" t="s">
        <v>242</v>
      </c>
      <c r="T88" s="112" t="s">
        <v>160</v>
      </c>
      <c r="U88" s="112" t="s">
        <v>160</v>
      </c>
      <c r="V88" s="99"/>
      <c r="W88" s="99"/>
      <c r="X88" s="112" t="s">
        <v>160</v>
      </c>
      <c r="Y88" s="100"/>
    </row>
    <row r="89" spans="1:25" ht="168">
      <c r="A89" s="157">
        <v>88</v>
      </c>
      <c r="B89" s="38"/>
      <c r="C89" s="38"/>
      <c r="D89" s="32">
        <v>898</v>
      </c>
      <c r="E89" s="32" t="s">
        <v>170</v>
      </c>
      <c r="F89" s="81" t="s">
        <v>498</v>
      </c>
      <c r="G89" s="51" t="s">
        <v>499</v>
      </c>
      <c r="H89" s="51" t="s">
        <v>500</v>
      </c>
      <c r="I89" s="51"/>
      <c r="J89" s="90" t="s">
        <v>501</v>
      </c>
      <c r="K89" s="194" t="s">
        <v>502</v>
      </c>
      <c r="L89" s="194" t="s">
        <v>502</v>
      </c>
      <c r="M89" s="32" t="s">
        <v>161</v>
      </c>
      <c r="N89" s="125" t="s">
        <v>150</v>
      </c>
      <c r="O89" s="13"/>
      <c r="P89" s="13"/>
      <c r="Q89" s="194" t="s">
        <v>502</v>
      </c>
      <c r="R89" s="194" t="s">
        <v>502</v>
      </c>
      <c r="S89" s="194" t="s">
        <v>502</v>
      </c>
      <c r="T89" s="194" t="s">
        <v>502</v>
      </c>
      <c r="U89" s="51" t="s">
        <v>502</v>
      </c>
      <c r="X89" s="51" t="s">
        <v>502</v>
      </c>
    </row>
    <row r="90" spans="1:25" ht="24">
      <c r="A90" s="157">
        <v>89</v>
      </c>
      <c r="B90" s="70"/>
      <c r="C90" s="70"/>
      <c r="D90" s="32">
        <v>900</v>
      </c>
      <c r="E90" s="32" t="s">
        <v>27</v>
      </c>
      <c r="F90" s="71" t="s">
        <v>503</v>
      </c>
      <c r="G90" s="51" t="s">
        <v>504</v>
      </c>
      <c r="H90" s="51" t="s">
        <v>505</v>
      </c>
      <c r="I90" s="74"/>
      <c r="J90" s="72"/>
      <c r="K90" s="194" t="s">
        <v>506</v>
      </c>
      <c r="L90" s="194" t="s">
        <v>506</v>
      </c>
      <c r="M90" s="32"/>
      <c r="N90" s="78" t="s">
        <v>150</v>
      </c>
      <c r="O90" s="13"/>
      <c r="P90" s="13"/>
      <c r="Q90" s="194" t="s">
        <v>506</v>
      </c>
      <c r="R90" s="194" t="s">
        <v>506</v>
      </c>
      <c r="S90" s="194" t="s">
        <v>506</v>
      </c>
      <c r="T90" s="194" t="s">
        <v>506</v>
      </c>
      <c r="U90" s="74" t="s">
        <v>160</v>
      </c>
      <c r="V90" s="74"/>
      <c r="W90" s="74"/>
      <c r="X90" s="74" t="s">
        <v>160</v>
      </c>
      <c r="Y90" s="75"/>
    </row>
    <row r="91" spans="1:25" ht="84">
      <c r="A91" s="157">
        <v>90</v>
      </c>
      <c r="B91" s="70"/>
      <c r="C91" s="70"/>
      <c r="D91" s="78">
        <v>901</v>
      </c>
      <c r="E91" s="144" t="s">
        <v>27</v>
      </c>
      <c r="F91" s="71" t="s">
        <v>507</v>
      </c>
      <c r="G91" s="14" t="s">
        <v>508</v>
      </c>
      <c r="H91" s="143" t="s">
        <v>509</v>
      </c>
      <c r="I91" s="74"/>
      <c r="J91" s="72"/>
      <c r="K91" s="5" t="s">
        <v>510</v>
      </c>
      <c r="L91" s="5" t="s">
        <v>510</v>
      </c>
      <c r="M91" s="78" t="s">
        <v>52</v>
      </c>
      <c r="N91" s="78" t="s">
        <v>150</v>
      </c>
      <c r="O91" s="13"/>
      <c r="P91" s="13"/>
      <c r="Q91" s="5" t="s">
        <v>510</v>
      </c>
      <c r="R91" s="5" t="s">
        <v>510</v>
      </c>
      <c r="S91" s="5" t="s">
        <v>510</v>
      </c>
      <c r="T91" s="5" t="s">
        <v>510</v>
      </c>
      <c r="U91" s="5" t="s">
        <v>511</v>
      </c>
      <c r="V91" s="74"/>
      <c r="W91" s="74"/>
      <c r="X91" s="5" t="s">
        <v>511</v>
      </c>
      <c r="Y91" s="75"/>
    </row>
    <row r="92" spans="1:25" ht="72">
      <c r="A92" s="157">
        <v>91</v>
      </c>
      <c r="B92" s="70"/>
      <c r="C92" s="70"/>
      <c r="D92" s="78">
        <v>902</v>
      </c>
      <c r="E92" s="125" t="s">
        <v>281</v>
      </c>
      <c r="F92" s="71" t="s">
        <v>512</v>
      </c>
      <c r="G92" s="14" t="s">
        <v>513</v>
      </c>
      <c r="H92" s="14" t="s">
        <v>514</v>
      </c>
      <c r="I92" s="74"/>
      <c r="J92" s="72"/>
      <c r="K92" s="5" t="s">
        <v>515</v>
      </c>
      <c r="L92" s="5" t="s">
        <v>515</v>
      </c>
      <c r="M92" s="78" t="s">
        <v>52</v>
      </c>
      <c r="N92" s="78" t="s">
        <v>150</v>
      </c>
      <c r="O92" s="13"/>
      <c r="P92" s="13"/>
      <c r="Q92" s="5" t="s">
        <v>515</v>
      </c>
      <c r="R92" s="5" t="s">
        <v>515</v>
      </c>
      <c r="S92" s="5" t="s">
        <v>515</v>
      </c>
      <c r="T92" s="5" t="s">
        <v>515</v>
      </c>
      <c r="U92" s="5" t="s">
        <v>516</v>
      </c>
      <c r="V92" s="74"/>
      <c r="W92" s="74"/>
      <c r="X92" s="5" t="s">
        <v>516</v>
      </c>
      <c r="Y92" s="75"/>
    </row>
    <row r="93" spans="1:25" ht="60">
      <c r="A93" s="157">
        <v>92</v>
      </c>
      <c r="B93" s="70"/>
      <c r="C93" s="70"/>
      <c r="D93" s="78">
        <v>905</v>
      </c>
      <c r="E93" s="125" t="s">
        <v>517</v>
      </c>
      <c r="F93" s="71" t="s">
        <v>518</v>
      </c>
      <c r="G93" s="14" t="s">
        <v>519</v>
      </c>
      <c r="H93" s="14" t="s">
        <v>520</v>
      </c>
      <c r="J93" s="72" t="s">
        <v>521</v>
      </c>
      <c r="K93" s="193" t="s">
        <v>160</v>
      </c>
      <c r="L93" s="193" t="s">
        <v>160</v>
      </c>
      <c r="M93" s="78" t="s">
        <v>161</v>
      </c>
      <c r="N93" s="78" t="s">
        <v>150</v>
      </c>
      <c r="O93" s="13"/>
      <c r="P93" s="13"/>
      <c r="Q93" s="193" t="s">
        <v>160</v>
      </c>
      <c r="R93" s="193" t="s">
        <v>160</v>
      </c>
      <c r="S93" s="193" t="s">
        <v>160</v>
      </c>
      <c r="T93" s="193" t="s">
        <v>160</v>
      </c>
      <c r="U93" s="5" t="s">
        <v>160</v>
      </c>
      <c r="V93" s="74"/>
      <c r="W93" s="74"/>
      <c r="X93" s="5" t="s">
        <v>160</v>
      </c>
      <c r="Y93" s="75"/>
    </row>
    <row r="94" spans="1:25" ht="60">
      <c r="A94" s="157">
        <v>93</v>
      </c>
      <c r="B94" s="70"/>
      <c r="C94" s="70"/>
      <c r="D94" s="78">
        <v>921</v>
      </c>
      <c r="E94" s="125" t="s">
        <v>260</v>
      </c>
      <c r="F94" s="71" t="s">
        <v>522</v>
      </c>
      <c r="G94" s="74" t="s">
        <v>523</v>
      </c>
      <c r="H94" s="14" t="s">
        <v>524</v>
      </c>
      <c r="I94" s="74"/>
      <c r="J94" s="72"/>
      <c r="K94" s="193" t="s">
        <v>160</v>
      </c>
      <c r="L94" s="193" t="s">
        <v>160</v>
      </c>
      <c r="M94" s="78" t="s">
        <v>161</v>
      </c>
      <c r="N94" s="78" t="s">
        <v>150</v>
      </c>
      <c r="O94" s="124"/>
      <c r="P94" s="124"/>
      <c r="Q94" s="193" t="s">
        <v>160</v>
      </c>
      <c r="R94" s="193" t="s">
        <v>160</v>
      </c>
      <c r="S94" s="193" t="s">
        <v>160</v>
      </c>
      <c r="T94" s="193" t="s">
        <v>160</v>
      </c>
      <c r="U94" s="5" t="s">
        <v>160</v>
      </c>
      <c r="V94" s="14"/>
      <c r="W94" s="14"/>
      <c r="X94" s="5" t="s">
        <v>160</v>
      </c>
      <c r="Y94" s="14"/>
    </row>
    <row r="95" spans="1:25" ht="108">
      <c r="A95" s="157">
        <v>94</v>
      </c>
      <c r="B95" s="12"/>
      <c r="C95" s="12"/>
      <c r="D95" s="32">
        <v>945</v>
      </c>
      <c r="E95" s="32" t="s">
        <v>27</v>
      </c>
      <c r="F95" s="81"/>
      <c r="G95" s="51" t="s">
        <v>525</v>
      </c>
      <c r="H95" s="83" t="s">
        <v>526</v>
      </c>
      <c r="I95" s="51"/>
      <c r="J95" s="90" t="s">
        <v>527</v>
      </c>
      <c r="K95" s="193" t="s">
        <v>160</v>
      </c>
      <c r="L95" s="193" t="s">
        <v>160</v>
      </c>
      <c r="M95" s="32" t="s">
        <v>161</v>
      </c>
      <c r="N95" s="125" t="s">
        <v>150</v>
      </c>
      <c r="O95" s="179"/>
      <c r="P95" s="179"/>
      <c r="Q95" s="193" t="s">
        <v>160</v>
      </c>
      <c r="R95" s="193" t="s">
        <v>160</v>
      </c>
      <c r="S95" s="193" t="s">
        <v>160</v>
      </c>
      <c r="T95" s="193" t="s">
        <v>160</v>
      </c>
      <c r="U95" s="4" t="s">
        <v>160</v>
      </c>
      <c r="V95" s="51"/>
      <c r="W95" s="51"/>
      <c r="X95" s="4" t="s">
        <v>160</v>
      </c>
      <c r="Y95" s="12"/>
    </row>
    <row r="96" spans="1:25" ht="36">
      <c r="A96" s="157">
        <v>95</v>
      </c>
      <c r="B96" s="102"/>
      <c r="C96" s="102"/>
      <c r="D96" s="103">
        <v>946</v>
      </c>
      <c r="E96" s="103" t="s">
        <v>528</v>
      </c>
      <c r="F96" s="104" t="s">
        <v>529</v>
      </c>
      <c r="G96" s="105" t="s">
        <v>530</v>
      </c>
      <c r="H96" s="111" t="s">
        <v>531</v>
      </c>
      <c r="I96" s="105"/>
      <c r="J96" s="109"/>
      <c r="K96" s="85" t="s">
        <v>174</v>
      </c>
      <c r="L96" s="85" t="s">
        <v>174</v>
      </c>
      <c r="M96" s="103" t="s">
        <v>58</v>
      </c>
      <c r="N96" s="174"/>
      <c r="O96" s="178"/>
      <c r="P96" s="178"/>
      <c r="Q96" s="85" t="s">
        <v>174</v>
      </c>
      <c r="R96" s="85" t="s">
        <v>174</v>
      </c>
      <c r="S96" s="85" t="s">
        <v>174</v>
      </c>
      <c r="T96" s="85" t="s">
        <v>174</v>
      </c>
      <c r="U96" s="85" t="s">
        <v>174</v>
      </c>
      <c r="V96" s="105"/>
      <c r="W96" s="105"/>
      <c r="X96" s="85" t="s">
        <v>174</v>
      </c>
      <c r="Y96" s="102"/>
    </row>
    <row r="97" spans="1:27" ht="91.5" customHeight="1">
      <c r="A97" s="157">
        <v>96</v>
      </c>
      <c r="B97" s="101"/>
      <c r="C97" s="101"/>
      <c r="D97" s="103">
        <v>955</v>
      </c>
      <c r="E97" s="103" t="s">
        <v>27</v>
      </c>
      <c r="F97" s="93" t="s">
        <v>297</v>
      </c>
      <c r="G97" s="105" t="s">
        <v>532</v>
      </c>
      <c r="H97" s="105" t="s">
        <v>533</v>
      </c>
      <c r="I97" s="99"/>
      <c r="J97" s="94" t="s">
        <v>300</v>
      </c>
      <c r="K97" s="112" t="s">
        <v>160</v>
      </c>
      <c r="L97" s="112" t="s">
        <v>160</v>
      </c>
      <c r="M97" s="103"/>
      <c r="N97" s="175" t="s">
        <v>150</v>
      </c>
      <c r="O97" s="96"/>
      <c r="P97" s="96"/>
      <c r="Q97" s="112" t="s">
        <v>160</v>
      </c>
      <c r="R97" s="112" t="s">
        <v>160</v>
      </c>
      <c r="S97" s="112" t="s">
        <v>160</v>
      </c>
      <c r="T97" s="112" t="s">
        <v>160</v>
      </c>
      <c r="U97" s="112" t="s">
        <v>160</v>
      </c>
      <c r="V97" s="99"/>
      <c r="W97" s="99"/>
      <c r="X97" s="112" t="s">
        <v>160</v>
      </c>
      <c r="Y97" s="100"/>
    </row>
    <row r="98" spans="1:27" ht="48">
      <c r="A98" s="157">
        <v>97</v>
      </c>
      <c r="B98" s="102"/>
      <c r="C98" s="102"/>
      <c r="D98" s="103">
        <v>956</v>
      </c>
      <c r="E98" s="103" t="s">
        <v>215</v>
      </c>
      <c r="F98" s="104"/>
      <c r="G98" s="105" t="s">
        <v>534</v>
      </c>
      <c r="H98" s="105" t="s">
        <v>535</v>
      </c>
      <c r="I98" s="105"/>
      <c r="J98" s="109" t="s">
        <v>300</v>
      </c>
      <c r="K98" s="85" t="s">
        <v>160</v>
      </c>
      <c r="L98" s="85" t="s">
        <v>160</v>
      </c>
      <c r="M98" s="103" t="s">
        <v>161</v>
      </c>
      <c r="N98" s="174"/>
      <c r="O98" s="178"/>
      <c r="P98" s="178"/>
      <c r="Q98" s="85" t="s">
        <v>160</v>
      </c>
      <c r="R98" s="85" t="s">
        <v>160</v>
      </c>
      <c r="S98" s="85" t="s">
        <v>160</v>
      </c>
      <c r="T98" s="85" t="s">
        <v>160</v>
      </c>
      <c r="U98" s="85" t="s">
        <v>160</v>
      </c>
      <c r="V98" s="105"/>
      <c r="W98" s="105"/>
      <c r="X98" s="85" t="s">
        <v>160</v>
      </c>
      <c r="Y98" s="105"/>
    </row>
    <row r="99" spans="1:27" ht="36">
      <c r="A99" s="157">
        <v>98</v>
      </c>
      <c r="B99" s="201"/>
      <c r="C99" s="201"/>
      <c r="D99" s="202">
        <v>959</v>
      </c>
      <c r="E99" s="202" t="s">
        <v>27</v>
      </c>
      <c r="F99" s="203"/>
      <c r="G99" s="137" t="s">
        <v>536</v>
      </c>
      <c r="H99" s="137"/>
      <c r="I99" s="137"/>
      <c r="J99" s="204" t="s">
        <v>537</v>
      </c>
      <c r="K99" s="205"/>
      <c r="L99" s="205"/>
      <c r="M99" s="202" t="s">
        <v>161</v>
      </c>
      <c r="N99" s="206" t="s">
        <v>150</v>
      </c>
      <c r="O99" s="207"/>
      <c r="P99" s="207"/>
      <c r="Q99" s="205"/>
      <c r="R99" s="205"/>
      <c r="S99" s="205"/>
      <c r="T99" s="205"/>
      <c r="U99" s="205"/>
      <c r="V99" s="192"/>
      <c r="W99" s="192"/>
      <c r="X99" s="137"/>
      <c r="Y99" s="271"/>
      <c r="Z99" s="9"/>
      <c r="AA99" s="6"/>
    </row>
    <row r="100" spans="1:27" ht="36">
      <c r="A100" s="157">
        <v>99</v>
      </c>
      <c r="B100" s="201"/>
      <c r="C100" s="201"/>
      <c r="D100" s="202">
        <v>960</v>
      </c>
      <c r="E100" s="202" t="s">
        <v>27</v>
      </c>
      <c r="F100" s="203"/>
      <c r="G100" s="137" t="s">
        <v>538</v>
      </c>
      <c r="H100" s="137"/>
      <c r="I100" s="137"/>
      <c r="J100" s="204" t="s">
        <v>539</v>
      </c>
      <c r="K100" s="205"/>
      <c r="L100" s="205"/>
      <c r="M100" s="202" t="s">
        <v>161</v>
      </c>
      <c r="N100" s="206" t="s">
        <v>150</v>
      </c>
      <c r="O100" s="207"/>
      <c r="P100" s="207"/>
      <c r="Q100" s="205"/>
      <c r="R100" s="205"/>
      <c r="S100" s="205"/>
      <c r="T100" s="205"/>
      <c r="U100" s="205"/>
      <c r="V100" s="192"/>
      <c r="W100" s="192"/>
      <c r="X100" s="137"/>
      <c r="Y100" s="271"/>
      <c r="Z100" s="9"/>
      <c r="AA100" s="6"/>
    </row>
    <row r="101" spans="1:27" ht="24">
      <c r="A101" s="235">
        <v>100</v>
      </c>
      <c r="B101" s="239" t="s">
        <v>2</v>
      </c>
      <c r="C101" s="236"/>
      <c r="D101" s="225">
        <v>961</v>
      </c>
      <c r="E101" s="225" t="s">
        <v>423</v>
      </c>
      <c r="F101" s="237" t="s">
        <v>540</v>
      </c>
      <c r="G101" s="238" t="s">
        <v>541</v>
      </c>
      <c r="H101" s="238" t="s">
        <v>542</v>
      </c>
      <c r="I101" s="230"/>
      <c r="J101" s="72" t="s">
        <v>543</v>
      </c>
      <c r="K101" s="216" t="s">
        <v>544</v>
      </c>
      <c r="L101" s="216" t="s">
        <v>544</v>
      </c>
      <c r="M101" s="225" t="s">
        <v>161</v>
      </c>
      <c r="N101" s="226" t="s">
        <v>150</v>
      </c>
      <c r="O101" s="227"/>
      <c r="P101" s="227"/>
      <c r="Q101" s="216" t="s">
        <v>544</v>
      </c>
      <c r="R101" s="216" t="s">
        <v>544</v>
      </c>
      <c r="S101" s="216" t="s">
        <v>544</v>
      </c>
      <c r="T101" s="216" t="s">
        <v>544</v>
      </c>
      <c r="U101" s="228" t="s">
        <v>544</v>
      </c>
      <c r="V101" s="229"/>
      <c r="W101" s="229"/>
      <c r="X101" s="228" t="s">
        <v>544</v>
      </c>
      <c r="Y101" s="272"/>
      <c r="Z101" s="8"/>
      <c r="AA101" s="8"/>
    </row>
    <row r="102" spans="1:27" ht="24">
      <c r="A102" s="219">
        <v>101</v>
      </c>
      <c r="B102" s="240" t="s">
        <v>2</v>
      </c>
      <c r="C102" s="222"/>
      <c r="D102" s="217">
        <v>964</v>
      </c>
      <c r="E102" s="217" t="s">
        <v>545</v>
      </c>
      <c r="F102" s="233" t="s">
        <v>540</v>
      </c>
      <c r="G102" s="221" t="s">
        <v>546</v>
      </c>
      <c r="H102" s="223" t="s">
        <v>547</v>
      </c>
      <c r="I102" s="221"/>
      <c r="J102" s="234" t="s">
        <v>543</v>
      </c>
      <c r="K102" s="216" t="s">
        <v>544</v>
      </c>
      <c r="L102" s="224" t="s">
        <v>544</v>
      </c>
      <c r="M102" s="217"/>
      <c r="N102" s="217"/>
      <c r="O102" s="218"/>
      <c r="P102" s="218"/>
      <c r="Q102" s="216" t="s">
        <v>544</v>
      </c>
      <c r="R102" s="224" t="s">
        <v>544</v>
      </c>
      <c r="S102" s="216" t="s">
        <v>544</v>
      </c>
      <c r="T102" s="224" t="s">
        <v>544</v>
      </c>
      <c r="U102" s="220" t="s">
        <v>544</v>
      </c>
      <c r="V102" s="221"/>
      <c r="W102" s="221"/>
      <c r="X102" s="220" t="s">
        <v>544</v>
      </c>
      <c r="Y102" s="222"/>
    </row>
    <row r="103" spans="1:27" ht="24">
      <c r="A103" s="242">
        <v>102</v>
      </c>
      <c r="B103" s="243" t="s">
        <v>2</v>
      </c>
      <c r="C103" s="244"/>
      <c r="D103" s="245">
        <v>967</v>
      </c>
      <c r="E103" s="245" t="s">
        <v>545</v>
      </c>
      <c r="F103" s="246" t="s">
        <v>548</v>
      </c>
      <c r="G103" s="247" t="s">
        <v>549</v>
      </c>
      <c r="H103" s="247" t="s">
        <v>550</v>
      </c>
      <c r="I103" s="248"/>
      <c r="J103" s="249" t="s">
        <v>543</v>
      </c>
      <c r="K103" s="228" t="s">
        <v>544</v>
      </c>
      <c r="L103" s="250" t="s">
        <v>544</v>
      </c>
      <c r="M103" s="245"/>
      <c r="N103" s="245"/>
      <c r="O103" s="251"/>
      <c r="P103" s="251"/>
      <c r="Q103" s="228" t="s">
        <v>544</v>
      </c>
      <c r="R103" s="250" t="s">
        <v>544</v>
      </c>
      <c r="S103" s="228" t="s">
        <v>544</v>
      </c>
      <c r="T103" s="250" t="s">
        <v>544</v>
      </c>
      <c r="U103" s="220" t="s">
        <v>544</v>
      </c>
      <c r="V103" s="248"/>
      <c r="W103" s="248"/>
      <c r="X103" s="220" t="s">
        <v>544</v>
      </c>
      <c r="Y103" s="252"/>
    </row>
    <row r="104" spans="1:27">
      <c r="A104" s="219">
        <v>103</v>
      </c>
      <c r="B104" s="222"/>
      <c r="C104" s="222"/>
      <c r="D104" s="217">
        <v>994</v>
      </c>
      <c r="E104" s="217" t="s">
        <v>551</v>
      </c>
      <c r="F104" s="233"/>
      <c r="G104" s="221" t="s">
        <v>552</v>
      </c>
      <c r="H104" s="223" t="s">
        <v>494</v>
      </c>
      <c r="I104" s="221"/>
      <c r="J104" s="241"/>
      <c r="K104" s="241"/>
      <c r="L104" s="429"/>
      <c r="M104" s="217"/>
      <c r="N104" s="217"/>
      <c r="O104" s="218"/>
      <c r="P104" s="218"/>
      <c r="Q104" s="241"/>
      <c r="R104" s="429"/>
      <c r="S104" s="259"/>
      <c r="T104" s="259"/>
      <c r="U104" s="449"/>
      <c r="V104" s="450"/>
      <c r="W104" s="221"/>
      <c r="X104" s="223"/>
      <c r="Y104" s="222"/>
    </row>
    <row r="105" spans="1:27">
      <c r="A105" s="17"/>
      <c r="B105" s="8"/>
      <c r="C105" s="8"/>
      <c r="D105" s="19"/>
      <c r="E105" s="19"/>
      <c r="F105" s="21"/>
      <c r="G105" s="9"/>
      <c r="H105" s="22"/>
      <c r="I105" s="9"/>
      <c r="J105" s="23"/>
      <c r="K105" s="23"/>
      <c r="L105" s="24"/>
      <c r="M105" s="231"/>
      <c r="N105" s="231"/>
      <c r="O105" s="232"/>
      <c r="P105" s="232"/>
      <c r="Q105" s="23"/>
      <c r="R105" s="24"/>
      <c r="S105" s="66"/>
      <c r="T105" s="66"/>
      <c r="U105" s="28"/>
      <c r="V105" s="448"/>
      <c r="W105" s="9"/>
      <c r="X105" s="22"/>
      <c r="Y105" s="9"/>
    </row>
    <row r="106" spans="1:27">
      <c r="A106" s="17"/>
      <c r="B106" s="25"/>
      <c r="C106" s="25"/>
      <c r="D106" s="19"/>
      <c r="E106" s="20"/>
      <c r="F106" s="21"/>
      <c r="G106" s="22"/>
      <c r="H106" s="22"/>
      <c r="I106" s="9"/>
      <c r="J106" s="23"/>
      <c r="K106" s="23"/>
      <c r="L106" s="27"/>
      <c r="M106" s="19"/>
      <c r="N106" s="19"/>
      <c r="O106" s="26"/>
      <c r="P106" s="26"/>
      <c r="Q106" s="23"/>
      <c r="R106" s="27"/>
      <c r="S106" s="66"/>
      <c r="T106" s="66"/>
      <c r="U106" s="9"/>
      <c r="V106" s="9"/>
      <c r="W106" s="9"/>
      <c r="X106" s="9"/>
      <c r="Y106" s="8"/>
    </row>
    <row r="107" spans="1:27">
      <c r="A107" s="17"/>
      <c r="B107" s="25"/>
      <c r="C107" s="25"/>
      <c r="D107" s="19"/>
      <c r="E107" s="19"/>
      <c r="F107" s="21"/>
      <c r="G107" s="22"/>
      <c r="H107" s="22"/>
      <c r="I107" s="9"/>
      <c r="J107" s="23"/>
      <c r="K107" s="23"/>
      <c r="L107" s="27"/>
      <c r="M107" s="19"/>
      <c r="N107" s="19"/>
      <c r="O107" s="26"/>
      <c r="P107" s="26"/>
      <c r="Q107" s="23"/>
      <c r="R107" s="27"/>
      <c r="S107" s="66"/>
      <c r="T107" s="66"/>
      <c r="U107" s="9"/>
      <c r="V107" s="9"/>
      <c r="W107" s="9"/>
      <c r="X107" s="9"/>
      <c r="Y107" s="8"/>
    </row>
    <row r="108" spans="1:27">
      <c r="A108" s="17"/>
      <c r="B108" s="25"/>
      <c r="C108" s="25"/>
      <c r="D108" s="19"/>
      <c r="E108" s="19"/>
      <c r="F108" s="21"/>
      <c r="G108" s="22"/>
      <c r="H108" s="22"/>
      <c r="I108" s="9"/>
      <c r="J108" s="23"/>
      <c r="K108" s="23"/>
      <c r="L108" s="27"/>
      <c r="M108" s="19"/>
      <c r="N108" s="19"/>
      <c r="O108" s="26"/>
      <c r="P108" s="26"/>
      <c r="Q108" s="23"/>
      <c r="R108" s="27"/>
      <c r="S108" s="66"/>
      <c r="T108" s="66"/>
      <c r="U108" s="9"/>
      <c r="V108" s="9"/>
      <c r="W108" s="9"/>
      <c r="X108" s="9"/>
      <c r="Y108" s="8"/>
    </row>
    <row r="109" spans="1:27">
      <c r="A109" s="17"/>
      <c r="B109" s="25"/>
      <c r="C109" s="25"/>
      <c r="D109" s="19"/>
      <c r="E109" s="19"/>
      <c r="F109" s="21"/>
      <c r="G109" s="22"/>
      <c r="H109" s="22"/>
      <c r="I109" s="9"/>
      <c r="J109" s="23"/>
      <c r="K109" s="23"/>
      <c r="L109" s="27"/>
      <c r="M109" s="19"/>
      <c r="N109" s="19"/>
      <c r="O109" s="26"/>
      <c r="P109" s="26"/>
      <c r="Q109" s="23"/>
      <c r="R109" s="27"/>
      <c r="S109" s="66"/>
      <c r="T109" s="66"/>
      <c r="U109" s="9"/>
      <c r="V109" s="9"/>
      <c r="W109" s="9"/>
      <c r="X109" s="9"/>
      <c r="Y109" s="8"/>
    </row>
    <row r="110" spans="1:27">
      <c r="A110" s="17"/>
      <c r="B110" s="25"/>
      <c r="C110" s="25"/>
      <c r="D110" s="19"/>
      <c r="E110" s="19"/>
      <c r="F110" s="21"/>
      <c r="G110" s="22"/>
      <c r="H110" s="22"/>
      <c r="I110" s="9"/>
      <c r="J110" s="23"/>
      <c r="K110" s="23"/>
      <c r="L110" s="27"/>
      <c r="M110" s="19"/>
      <c r="N110" s="19"/>
      <c r="O110" s="26"/>
      <c r="P110" s="26"/>
      <c r="Q110" s="23"/>
      <c r="R110" s="27"/>
      <c r="S110" s="66"/>
      <c r="T110" s="66"/>
      <c r="U110" s="9"/>
      <c r="V110" s="9"/>
      <c r="W110" s="9"/>
      <c r="X110" s="9"/>
      <c r="Y110" s="8"/>
    </row>
    <row r="111" spans="1:27">
      <c r="A111" s="17"/>
      <c r="B111" s="25"/>
      <c r="C111" s="25"/>
      <c r="D111" s="19"/>
      <c r="E111" s="19"/>
      <c r="F111" s="21"/>
      <c r="G111" s="22"/>
      <c r="H111" s="22"/>
      <c r="I111" s="9"/>
      <c r="J111" s="23"/>
      <c r="K111" s="23"/>
      <c r="L111" s="27"/>
      <c r="M111" s="19"/>
      <c r="N111" s="19"/>
      <c r="O111" s="26"/>
      <c r="P111" s="26"/>
      <c r="Q111" s="23"/>
      <c r="R111" s="27"/>
      <c r="S111" s="66"/>
      <c r="T111" s="66"/>
      <c r="U111" s="9"/>
      <c r="V111" s="9"/>
      <c r="W111" s="9"/>
      <c r="X111" s="9"/>
      <c r="Y111" s="8"/>
    </row>
    <row r="112" spans="1:27">
      <c r="A112" s="17"/>
      <c r="B112" s="25"/>
      <c r="C112" s="25"/>
      <c r="D112" s="19"/>
      <c r="E112" s="19"/>
      <c r="F112" s="21"/>
      <c r="G112" s="22"/>
      <c r="H112" s="22"/>
      <c r="I112" s="9"/>
      <c r="J112" s="23"/>
      <c r="K112" s="23"/>
      <c r="L112" s="27"/>
      <c r="M112" s="19"/>
      <c r="N112" s="19"/>
      <c r="O112" s="26"/>
      <c r="P112" s="26"/>
      <c r="Q112" s="23"/>
      <c r="R112" s="27"/>
      <c r="S112" s="66"/>
      <c r="T112" s="66"/>
      <c r="U112" s="9"/>
      <c r="V112" s="9"/>
      <c r="W112" s="9"/>
      <c r="X112" s="9"/>
      <c r="Y112" s="8"/>
    </row>
    <row r="113" spans="1:25">
      <c r="A113" s="17"/>
      <c r="B113" s="25"/>
      <c r="C113" s="25"/>
      <c r="D113" s="19"/>
      <c r="E113" s="20"/>
      <c r="F113" s="21"/>
      <c r="G113" s="22"/>
      <c r="H113" s="22"/>
      <c r="I113" s="9"/>
      <c r="J113" s="23"/>
      <c r="K113" s="23"/>
      <c r="L113" s="27"/>
      <c r="M113" s="19"/>
      <c r="N113" s="19"/>
      <c r="O113" s="26"/>
      <c r="P113" s="26"/>
      <c r="Q113" s="23"/>
      <c r="R113" s="27"/>
      <c r="S113" s="66"/>
      <c r="T113" s="66"/>
      <c r="U113" s="9"/>
      <c r="V113" s="9"/>
      <c r="W113" s="9"/>
      <c r="X113" s="9"/>
      <c r="Y113" s="8"/>
    </row>
    <row r="114" spans="1:25">
      <c r="A114" s="17"/>
      <c r="B114" s="25"/>
      <c r="C114" s="25"/>
      <c r="D114" s="19"/>
      <c r="E114" s="19"/>
      <c r="F114" s="21"/>
      <c r="G114" s="22"/>
      <c r="H114" s="22"/>
      <c r="I114" s="9"/>
      <c r="J114" s="23"/>
      <c r="K114" s="23"/>
      <c r="L114" s="27"/>
      <c r="M114" s="19"/>
      <c r="N114" s="19"/>
      <c r="O114" s="26"/>
      <c r="P114" s="26"/>
      <c r="Q114" s="23"/>
      <c r="R114" s="27"/>
      <c r="S114" s="66"/>
      <c r="T114" s="66"/>
      <c r="U114" s="9"/>
      <c r="V114" s="9"/>
      <c r="W114" s="9"/>
      <c r="X114" s="9"/>
      <c r="Y114" s="8"/>
    </row>
    <row r="115" spans="1:25">
      <c r="A115" s="17"/>
      <c r="B115" s="25"/>
      <c r="C115" s="25"/>
      <c r="D115" s="19"/>
      <c r="E115" s="20"/>
      <c r="F115" s="21"/>
      <c r="G115" s="22"/>
      <c r="H115" s="22"/>
      <c r="I115" s="9"/>
      <c r="J115" s="23"/>
      <c r="K115" s="23"/>
      <c r="L115" s="27"/>
      <c r="M115" s="19"/>
      <c r="N115" s="19"/>
      <c r="O115" s="26"/>
      <c r="P115" s="26"/>
      <c r="Q115" s="23"/>
      <c r="R115" s="27"/>
      <c r="S115" s="66"/>
      <c r="T115" s="66"/>
      <c r="U115" s="9"/>
      <c r="V115" s="9"/>
      <c r="W115" s="9"/>
      <c r="X115" s="9"/>
      <c r="Y115" s="8"/>
    </row>
    <row r="116" spans="1:25">
      <c r="A116" s="17"/>
      <c r="B116" s="25"/>
      <c r="C116" s="25"/>
      <c r="D116" s="19"/>
      <c r="E116" s="19"/>
      <c r="F116" s="21"/>
      <c r="G116" s="22"/>
      <c r="H116" s="22"/>
      <c r="I116" s="9"/>
      <c r="J116" s="23"/>
      <c r="K116" s="23"/>
      <c r="L116" s="27"/>
      <c r="M116" s="19"/>
      <c r="N116" s="19"/>
      <c r="O116" s="26"/>
      <c r="P116" s="26"/>
      <c r="Q116" s="23"/>
      <c r="R116" s="27"/>
      <c r="S116" s="66"/>
      <c r="T116" s="66"/>
      <c r="U116" s="9"/>
      <c r="V116" s="9"/>
      <c r="W116" s="9"/>
      <c r="X116" s="9"/>
      <c r="Y116" s="8"/>
    </row>
    <row r="117" spans="1:25">
      <c r="A117" s="17"/>
      <c r="B117" s="25"/>
      <c r="C117" s="25"/>
      <c r="D117" s="19"/>
      <c r="E117" s="19"/>
      <c r="F117" s="21"/>
      <c r="G117" s="22"/>
      <c r="H117" s="22"/>
      <c r="I117" s="9"/>
      <c r="J117" s="23"/>
      <c r="K117" s="23"/>
      <c r="L117" s="27"/>
      <c r="M117" s="19"/>
      <c r="N117" s="19"/>
      <c r="O117" s="26"/>
      <c r="P117" s="26"/>
      <c r="Q117" s="23"/>
      <c r="R117" s="27"/>
      <c r="S117" s="66"/>
      <c r="T117" s="66"/>
      <c r="U117" s="9"/>
      <c r="V117" s="9"/>
      <c r="W117" s="9"/>
      <c r="X117" s="9"/>
      <c r="Y117" s="8"/>
    </row>
    <row r="118" spans="1:25">
      <c r="A118" s="17"/>
      <c r="B118" s="25"/>
      <c r="C118" s="25"/>
      <c r="D118" s="19"/>
      <c r="E118" s="19"/>
      <c r="F118" s="21"/>
      <c r="G118" s="22"/>
      <c r="H118" s="22"/>
      <c r="I118" s="9"/>
      <c r="J118" s="23"/>
      <c r="K118" s="23"/>
      <c r="L118" s="27"/>
      <c r="M118" s="19"/>
      <c r="N118" s="19"/>
      <c r="O118" s="26"/>
      <c r="P118" s="26"/>
      <c r="Q118" s="23"/>
      <c r="R118" s="27"/>
      <c r="S118" s="66"/>
      <c r="T118" s="66"/>
      <c r="U118" s="9"/>
      <c r="V118" s="9"/>
      <c r="W118" s="9"/>
      <c r="X118" s="9"/>
      <c r="Y118" s="8"/>
    </row>
    <row r="119" spans="1:25">
      <c r="A119" s="17"/>
      <c r="B119" s="25"/>
      <c r="C119" s="25"/>
      <c r="D119" s="19"/>
      <c r="E119" s="20"/>
      <c r="F119" s="21"/>
      <c r="G119" s="22"/>
      <c r="H119" s="22"/>
      <c r="I119" s="9"/>
      <c r="J119" s="23"/>
      <c r="K119" s="23"/>
      <c r="L119" s="27"/>
      <c r="M119" s="19"/>
      <c r="N119" s="19"/>
      <c r="O119" s="26"/>
      <c r="P119" s="26"/>
      <c r="Q119" s="23"/>
      <c r="R119" s="27"/>
      <c r="S119" s="66"/>
      <c r="T119" s="66"/>
      <c r="U119" s="9"/>
      <c r="V119" s="9"/>
      <c r="W119" s="9"/>
      <c r="X119" s="9"/>
      <c r="Y119" s="8"/>
    </row>
    <row r="120" spans="1:25">
      <c r="A120" s="17"/>
      <c r="B120" s="25"/>
      <c r="C120" s="25"/>
      <c r="D120" s="19"/>
      <c r="E120" s="19"/>
      <c r="F120" s="21"/>
      <c r="G120" s="22"/>
      <c r="H120" s="22"/>
      <c r="I120" s="9"/>
      <c r="J120" s="23"/>
      <c r="K120" s="23"/>
      <c r="L120" s="27"/>
      <c r="M120" s="19"/>
      <c r="N120" s="19"/>
      <c r="O120" s="26"/>
      <c r="P120" s="26"/>
      <c r="Q120" s="23"/>
      <c r="R120" s="27"/>
      <c r="S120" s="66"/>
      <c r="T120" s="66"/>
      <c r="U120" s="9"/>
      <c r="V120" s="9"/>
      <c r="W120" s="9"/>
      <c r="X120" s="9"/>
      <c r="Y120" s="8"/>
    </row>
    <row r="121" spans="1:25">
      <c r="A121" s="17"/>
      <c r="B121" s="25"/>
      <c r="C121" s="25"/>
      <c r="D121" s="19"/>
      <c r="E121" s="20"/>
      <c r="F121" s="21"/>
      <c r="G121" s="22"/>
      <c r="H121" s="22"/>
      <c r="I121" s="9"/>
      <c r="J121" s="23"/>
      <c r="K121" s="23"/>
      <c r="L121" s="27"/>
      <c r="M121" s="19"/>
      <c r="N121" s="19"/>
      <c r="O121" s="26"/>
      <c r="P121" s="26"/>
      <c r="Q121" s="23"/>
      <c r="R121" s="27"/>
      <c r="S121" s="66"/>
      <c r="T121" s="66"/>
      <c r="U121" s="9"/>
      <c r="V121" s="9"/>
      <c r="W121" s="9"/>
      <c r="X121" s="9"/>
      <c r="Y121" s="8"/>
    </row>
    <row r="122" spans="1:25">
      <c r="A122" s="17"/>
      <c r="B122" s="25"/>
      <c r="C122" s="25"/>
      <c r="D122" s="19"/>
      <c r="E122" s="20"/>
      <c r="F122" s="21"/>
      <c r="G122" s="22"/>
      <c r="H122" s="22"/>
      <c r="I122" s="9"/>
      <c r="J122" s="23"/>
      <c r="K122" s="23"/>
      <c r="L122" s="27"/>
      <c r="M122" s="19"/>
      <c r="N122" s="19"/>
      <c r="O122" s="26"/>
      <c r="P122" s="26"/>
      <c r="Q122" s="23"/>
      <c r="R122" s="27"/>
      <c r="S122" s="66"/>
      <c r="T122" s="66"/>
      <c r="U122" s="9"/>
      <c r="V122" s="9"/>
      <c r="W122" s="9"/>
      <c r="X122" s="9"/>
      <c r="Y122" s="8"/>
    </row>
    <row r="123" spans="1:25">
      <c r="A123" s="17"/>
      <c r="B123" s="25"/>
      <c r="C123" s="25"/>
      <c r="D123" s="19"/>
      <c r="E123" s="19"/>
      <c r="F123" s="21"/>
      <c r="G123" s="22"/>
      <c r="H123" s="22"/>
      <c r="I123" s="9"/>
      <c r="J123" s="23"/>
      <c r="K123" s="23"/>
      <c r="L123" s="27"/>
      <c r="M123" s="19"/>
      <c r="N123" s="19"/>
      <c r="O123" s="26"/>
      <c r="P123" s="26"/>
      <c r="Q123" s="23"/>
      <c r="R123" s="27"/>
      <c r="S123" s="66"/>
      <c r="T123" s="66"/>
      <c r="U123" s="9"/>
      <c r="V123" s="9"/>
      <c r="W123" s="9"/>
      <c r="X123" s="9"/>
      <c r="Y123" s="8"/>
    </row>
    <row r="124" spans="1:25">
      <c r="A124" s="17"/>
      <c r="B124" s="25"/>
      <c r="C124" s="25"/>
      <c r="D124" s="19"/>
      <c r="E124" s="20"/>
      <c r="F124" s="21"/>
      <c r="G124" s="22"/>
      <c r="H124" s="22"/>
      <c r="I124" s="9"/>
      <c r="J124" s="23"/>
      <c r="K124" s="23"/>
      <c r="L124" s="27"/>
      <c r="M124" s="19"/>
      <c r="N124" s="19"/>
      <c r="O124" s="26"/>
      <c r="P124" s="26"/>
      <c r="Q124" s="23"/>
      <c r="R124" s="27"/>
      <c r="S124" s="66"/>
      <c r="T124" s="66"/>
      <c r="U124" s="9"/>
      <c r="V124" s="9"/>
      <c r="W124" s="9"/>
      <c r="X124" s="9"/>
      <c r="Y124" s="8"/>
    </row>
    <row r="125" spans="1:25">
      <c r="A125" s="17"/>
      <c r="B125" s="25"/>
      <c r="C125" s="25"/>
      <c r="D125" s="19"/>
      <c r="E125" s="19"/>
      <c r="F125" s="21"/>
      <c r="G125" s="22"/>
      <c r="H125" s="22"/>
      <c r="I125" s="9"/>
      <c r="J125" s="23"/>
      <c r="K125" s="23"/>
      <c r="L125" s="27"/>
      <c r="M125" s="19"/>
      <c r="N125" s="19"/>
      <c r="O125" s="26"/>
      <c r="P125" s="26"/>
      <c r="Q125" s="23"/>
      <c r="R125" s="27"/>
      <c r="S125" s="66"/>
      <c r="T125" s="66"/>
      <c r="U125" s="9"/>
      <c r="V125" s="9"/>
      <c r="W125" s="9"/>
      <c r="X125" s="9"/>
      <c r="Y125" s="8"/>
    </row>
    <row r="126" spans="1:25">
      <c r="A126" s="17"/>
      <c r="B126" s="25"/>
      <c r="C126" s="25"/>
      <c r="D126" s="19"/>
      <c r="E126" s="19"/>
      <c r="F126" s="21"/>
      <c r="G126" s="22"/>
      <c r="H126" s="22"/>
      <c r="I126" s="9"/>
      <c r="J126" s="23"/>
      <c r="K126" s="23"/>
      <c r="L126" s="27"/>
      <c r="M126" s="19"/>
      <c r="N126" s="19"/>
      <c r="O126" s="26"/>
      <c r="P126" s="26"/>
      <c r="Q126" s="23"/>
      <c r="R126" s="27"/>
      <c r="S126" s="66"/>
      <c r="T126" s="66"/>
      <c r="U126" s="9"/>
      <c r="V126" s="9"/>
      <c r="W126" s="9"/>
      <c r="X126" s="9"/>
      <c r="Y126" s="8"/>
    </row>
    <row r="127" spans="1:25">
      <c r="A127" s="17"/>
      <c r="B127" s="8"/>
      <c r="C127" s="8"/>
      <c r="D127" s="19"/>
      <c r="E127" s="19"/>
      <c r="F127" s="21"/>
      <c r="G127" s="9"/>
      <c r="H127" s="22"/>
      <c r="I127" s="9"/>
      <c r="J127" s="23"/>
      <c r="K127" s="23"/>
      <c r="L127" s="27"/>
      <c r="M127" s="19"/>
      <c r="N127" s="19"/>
      <c r="O127" s="26"/>
      <c r="P127" s="26"/>
      <c r="Q127" s="23"/>
      <c r="R127" s="27"/>
      <c r="S127" s="66"/>
      <c r="T127" s="66"/>
      <c r="U127" s="9"/>
      <c r="V127" s="28"/>
      <c r="W127" s="28"/>
      <c r="X127" s="9"/>
      <c r="Y127" s="8"/>
    </row>
    <row r="128" spans="1:25">
      <c r="A128" s="17"/>
      <c r="B128" s="8"/>
      <c r="C128" s="8"/>
      <c r="D128" s="19"/>
      <c r="E128" s="19"/>
      <c r="F128" s="21"/>
      <c r="G128" s="9"/>
      <c r="H128" s="22"/>
      <c r="I128" s="9"/>
      <c r="J128" s="23"/>
      <c r="K128" s="23"/>
      <c r="L128" s="29"/>
      <c r="M128" s="19"/>
      <c r="N128" s="19"/>
      <c r="O128" s="31"/>
      <c r="P128" s="31"/>
      <c r="Q128" s="23"/>
      <c r="R128" s="29"/>
      <c r="S128" s="66"/>
      <c r="T128" s="66"/>
      <c r="U128" s="9"/>
      <c r="V128" s="9"/>
      <c r="W128" s="9"/>
      <c r="X128" s="9"/>
      <c r="Y128" s="8"/>
    </row>
    <row r="129" spans="1:25">
      <c r="A129" s="17"/>
      <c r="B129" s="25"/>
      <c r="C129" s="25"/>
      <c r="D129" s="19"/>
      <c r="E129" s="19"/>
      <c r="F129" s="21"/>
      <c r="G129" s="22"/>
      <c r="I129" s="9"/>
      <c r="J129" s="23"/>
      <c r="K129" s="23"/>
      <c r="L129" s="27"/>
      <c r="M129" s="19"/>
      <c r="N129" s="19"/>
      <c r="O129" s="26"/>
      <c r="P129" s="26"/>
      <c r="Q129" s="23"/>
      <c r="R129" s="27"/>
      <c r="S129" s="66"/>
      <c r="T129" s="66"/>
      <c r="U129" s="9"/>
      <c r="V129" s="9"/>
      <c r="W129" s="9"/>
      <c r="X129" s="9"/>
      <c r="Y129" s="8"/>
    </row>
    <row r="130" spans="1:25">
      <c r="A130" s="17"/>
      <c r="B130" s="8"/>
      <c r="C130" s="8"/>
      <c r="D130" s="19"/>
      <c r="E130" s="20"/>
      <c r="F130" s="21"/>
      <c r="G130" s="9"/>
      <c r="I130" s="9"/>
      <c r="J130" s="23"/>
      <c r="K130" s="23"/>
      <c r="L130" s="24"/>
      <c r="M130" s="19"/>
      <c r="N130" s="19"/>
      <c r="O130" s="26"/>
      <c r="P130" s="26"/>
      <c r="Q130" s="23"/>
      <c r="R130" s="24"/>
      <c r="S130" s="66"/>
      <c r="T130" s="66"/>
      <c r="U130" s="9"/>
      <c r="V130" s="9"/>
      <c r="W130" s="9"/>
      <c r="X130" s="9"/>
      <c r="Y130" s="8"/>
    </row>
    <row r="131" spans="1:25">
      <c r="A131" s="17"/>
      <c r="B131" s="25"/>
      <c r="C131" s="25"/>
      <c r="D131" s="19"/>
      <c r="E131" s="20"/>
      <c r="F131" s="21"/>
      <c r="G131" s="22"/>
      <c r="I131" s="9"/>
      <c r="J131" s="23"/>
      <c r="K131" s="23"/>
      <c r="L131" s="27"/>
      <c r="M131" s="19"/>
      <c r="N131" s="19"/>
      <c r="O131" s="26"/>
      <c r="P131" s="26"/>
      <c r="Q131" s="23"/>
      <c r="R131" s="27"/>
      <c r="S131" s="66"/>
      <c r="T131" s="66"/>
      <c r="U131" s="9"/>
      <c r="V131" s="9"/>
      <c r="W131" s="9"/>
      <c r="X131" s="9"/>
      <c r="Y131" s="8"/>
    </row>
    <row r="132" spans="1:25">
      <c r="A132" s="17"/>
      <c r="B132" s="25"/>
      <c r="C132" s="25"/>
      <c r="D132" s="19"/>
      <c r="E132" s="19"/>
      <c r="F132" s="21"/>
      <c r="G132" s="22"/>
      <c r="I132" s="9"/>
      <c r="J132" s="23"/>
      <c r="K132" s="23"/>
      <c r="L132" s="27"/>
      <c r="M132" s="19"/>
      <c r="N132" s="19"/>
      <c r="O132" s="26"/>
      <c r="P132" s="26"/>
      <c r="Q132" s="23"/>
      <c r="R132" s="27"/>
      <c r="S132" s="66"/>
      <c r="T132" s="66"/>
      <c r="U132" s="9"/>
      <c r="V132" s="9"/>
      <c r="W132" s="9"/>
      <c r="X132" s="9"/>
      <c r="Y132" s="8"/>
    </row>
    <row r="133" spans="1:25">
      <c r="A133" s="17"/>
      <c r="B133" s="8"/>
      <c r="C133" s="8"/>
      <c r="D133" s="19"/>
      <c r="E133" s="19"/>
      <c r="F133" s="21"/>
      <c r="G133" s="9"/>
      <c r="I133" s="9"/>
      <c r="J133" s="23"/>
      <c r="K133" s="23"/>
      <c r="L133" s="30"/>
      <c r="M133" s="19"/>
      <c r="N133" s="19"/>
      <c r="O133" s="26"/>
      <c r="P133" s="26"/>
      <c r="Q133" s="23"/>
      <c r="R133" s="30"/>
      <c r="S133" s="66"/>
      <c r="T133" s="66"/>
      <c r="U133" s="9"/>
      <c r="V133" s="28"/>
      <c r="W133" s="28"/>
      <c r="X133" s="9"/>
      <c r="Y133" s="8"/>
    </row>
    <row r="134" spans="1:25">
      <c r="A134" s="3" t="s">
        <v>2</v>
      </c>
      <c r="B134" s="16"/>
      <c r="C134" s="16"/>
      <c r="G134" s="39"/>
      <c r="L134" s="15"/>
      <c r="O134" s="17"/>
      <c r="P134" s="17"/>
      <c r="R134" s="15"/>
      <c r="S134" s="66"/>
      <c r="T134" s="66"/>
      <c r="U134" s="3"/>
      <c r="V134" s="3"/>
      <c r="W134" s="3"/>
      <c r="X134" s="3"/>
      <c r="Y134" s="3"/>
    </row>
    <row r="135" spans="1:25">
      <c r="A135" s="3" t="s">
        <v>2</v>
      </c>
      <c r="B135" s="16"/>
      <c r="C135" s="16"/>
      <c r="G135" s="39"/>
      <c r="L135" s="15"/>
      <c r="O135" s="17"/>
      <c r="P135" s="17"/>
      <c r="R135" s="15"/>
      <c r="S135" s="66"/>
      <c r="T135" s="66"/>
      <c r="U135" s="3"/>
      <c r="V135" s="3"/>
      <c r="W135" s="3"/>
      <c r="X135" s="3"/>
      <c r="Y135" s="3"/>
    </row>
    <row r="136" spans="1:25">
      <c r="A136" s="3" t="s">
        <v>2</v>
      </c>
      <c r="B136" s="16"/>
      <c r="C136" s="16"/>
      <c r="G136" s="39"/>
      <c r="L136" s="15"/>
      <c r="O136" s="17"/>
      <c r="P136" s="17"/>
      <c r="R136" s="15"/>
      <c r="S136" s="66"/>
      <c r="T136" s="66"/>
      <c r="U136" s="3"/>
      <c r="V136" s="3"/>
      <c r="W136" s="3"/>
      <c r="X136" s="3"/>
      <c r="Y136" s="3"/>
    </row>
    <row r="137" spans="1:25">
      <c r="A137" s="3" t="s">
        <v>2</v>
      </c>
      <c r="B137" s="16"/>
      <c r="C137" s="16"/>
      <c r="G137" s="39"/>
      <c r="L137" s="15"/>
      <c r="O137" s="17"/>
      <c r="P137" s="17"/>
      <c r="R137" s="15"/>
      <c r="S137" s="66"/>
      <c r="T137" s="66"/>
      <c r="U137" s="3"/>
      <c r="V137" s="3"/>
      <c r="W137" s="3"/>
      <c r="X137" s="3"/>
      <c r="Y137" s="3"/>
    </row>
    <row r="138" spans="1:25">
      <c r="A138" s="3" t="s">
        <v>2</v>
      </c>
      <c r="B138" s="16"/>
      <c r="C138" s="16"/>
      <c r="G138" s="39"/>
      <c r="L138" s="15"/>
      <c r="O138" s="17"/>
      <c r="P138" s="17"/>
      <c r="R138" s="15"/>
      <c r="U138" s="3"/>
      <c r="V138" s="3"/>
      <c r="W138" s="3"/>
      <c r="X138" s="3"/>
      <c r="Y138" s="3"/>
    </row>
    <row r="139" spans="1:25">
      <c r="A139" s="3" t="s">
        <v>2</v>
      </c>
      <c r="B139" s="16"/>
      <c r="C139" s="16"/>
      <c r="G139" s="39"/>
      <c r="L139" s="15"/>
      <c r="O139" s="17"/>
      <c r="P139" s="17"/>
      <c r="R139" s="15"/>
      <c r="U139" s="3"/>
      <c r="V139" s="3"/>
      <c r="W139" s="3"/>
      <c r="X139" s="3"/>
      <c r="Y139" s="3"/>
    </row>
    <row r="140" spans="1:25">
      <c r="A140" s="3" t="s">
        <v>2</v>
      </c>
      <c r="B140" s="16"/>
      <c r="C140" s="16"/>
      <c r="G140" s="39"/>
      <c r="L140" s="15"/>
      <c r="O140" s="17"/>
      <c r="P140" s="17"/>
      <c r="R140" s="15"/>
      <c r="U140" s="3"/>
      <c r="V140" s="3"/>
      <c r="W140" s="3"/>
      <c r="X140" s="3"/>
      <c r="Y140" s="3"/>
    </row>
    <row r="141" spans="1:25">
      <c r="A141" s="3" t="s">
        <v>2</v>
      </c>
      <c r="B141" s="16"/>
      <c r="C141" s="16"/>
      <c r="G141" s="39"/>
      <c r="L141" s="15"/>
      <c r="O141" s="17"/>
      <c r="P141" s="17"/>
      <c r="R141" s="15"/>
      <c r="U141" s="3"/>
      <c r="V141" s="3"/>
      <c r="W141" s="3"/>
      <c r="X141" s="3"/>
      <c r="Y141" s="3"/>
    </row>
    <row r="142" spans="1:25">
      <c r="A142" s="3" t="s">
        <v>2</v>
      </c>
      <c r="B142" s="16"/>
      <c r="C142" s="16"/>
      <c r="G142" s="39"/>
      <c r="L142" s="15"/>
      <c r="O142" s="17"/>
      <c r="P142" s="17"/>
      <c r="R142" s="15"/>
      <c r="U142" s="3"/>
      <c r="V142" s="3"/>
      <c r="W142" s="3"/>
      <c r="X142" s="3"/>
      <c r="Y142" s="3"/>
    </row>
    <row r="143" spans="1:25">
      <c r="A143" s="3" t="s">
        <v>2</v>
      </c>
      <c r="B143" s="16"/>
      <c r="C143" s="16"/>
      <c r="G143" s="39"/>
      <c r="L143" s="15"/>
      <c r="O143" s="17"/>
      <c r="P143" s="17"/>
      <c r="R143" s="15"/>
      <c r="U143" s="3"/>
      <c r="V143" s="3"/>
      <c r="W143" s="3"/>
      <c r="X143" s="3"/>
      <c r="Y143" s="3"/>
    </row>
    <row r="145" ht="12" customHeight="1"/>
    <row r="146" ht="12.75" customHeight="1"/>
    <row r="163" ht="12" customHeight="1"/>
    <row r="164" ht="12.75" customHeight="1"/>
    <row r="165" ht="12" customHeight="1"/>
    <row r="166" ht="12.75" customHeight="1"/>
    <row r="177" ht="12" customHeight="1"/>
    <row r="178" ht="12.75" customHeight="1"/>
    <row r="179" ht="12" customHeight="1"/>
    <row r="180" ht="12.75" customHeight="1"/>
    <row r="183" ht="12" customHeight="1"/>
    <row r="184" ht="12.75" customHeight="1"/>
    <row r="185" ht="12" customHeight="1"/>
    <row r="186" ht="12.75" customHeight="1"/>
    <row r="187" ht="12" customHeight="1"/>
    <row r="188" ht="12.75" customHeight="1"/>
    <row r="190" ht="12.75" customHeight="1"/>
    <row r="200" ht="12" customHeight="1"/>
    <row r="201" ht="12.75" customHeight="1"/>
    <row r="202" ht="12" customHeight="1"/>
    <row r="203" ht="12.75" customHeight="1"/>
    <row r="207" ht="12" customHeight="1"/>
    <row r="208" ht="12.75" customHeight="1"/>
    <row r="210" ht="12" customHeight="1"/>
    <row r="211" ht="12.75" customHeight="1"/>
  </sheetData>
  <sheetProtection autoFilter="0"/>
  <protectedRanges>
    <protectedRange password="EE42" sqref="A1:J2 H22:J22 J6 H23:H29 U31:U34 X31:X34 U59 X59 U36 X36 J62 U63 H62:I63 U97 X97 J93 I91:J92 B7:I8 B95:J97 B72:H73 B76:H76 B84:J85 B22:G66 B87:J90 B81:H83 U65:U71 X65:X71 B91:H94 I94:J94 U91:U94 X91:X94 V45:W45 Y45 B3:J5 A104:J65536 C21:J21 A6:H6 A10 A14:J14 A18 A22 A26 A30 A34 A38 A42 A46 A50 A54 A58 A62 A66 A70 A74 A78 A82 A86 A90 A94 A98 U13:X13 B15:J15 H57:J57 H59:J61 H58 B77:E80 G78:J80 F79:F80 U44:U45 X44:X45 X55:X56 U55:U57 B74:J75 U74:U75 X74:X75 B9:J13 I56:J56 B67:J71 H30:J55 J58 F77:H77 J76:J77 A102:I103 B17:J20 B16:I16 X63 H64:J66 V62 Y62" name="Range1"/>
    <protectedRange password="EE42" sqref="I6" name="Range1_1"/>
    <protectedRange password="EE42" sqref="J7:J8" name="Range1_2"/>
    <protectedRange password="EE42" sqref="B86:J86" name="Range1_3"/>
    <protectedRange password="EE42" sqref="B98:J98" name="Range1_4"/>
    <protectedRange password="EE42" sqref="H56" name="Range1_6"/>
    <protectedRange password="EE42" sqref="B101:F101 H101:J101 J102:J103 U101:U103 X101:X103" name="Range1_7"/>
    <protectedRange password="EE42" sqref="B99:F100 H99:J100" name="Range1_4_2"/>
    <protectedRange password="EE42" sqref="A99:A100" name="Range1_10_1"/>
    <protectedRange password="EE42" sqref="G101" name="Range1_6_1_1"/>
    <protectedRange password="EE42" sqref="G99:G100" name="Range1_4_1_2"/>
    <protectedRange password="EE42" sqref="O16" name="Range1_5"/>
    <protectedRange password="EE42" sqref="J16" name="Range1_8"/>
    <protectedRange password="EE42" sqref="S52 S22 S36 S97 S62:S63 S59 S74:S75 S13 S31:S34 S55:S56 S91:S95 S44 S65:S71" name="Range1_10"/>
    <protectedRange password="EE42" sqref="S101:S103" name="Range1_7_8"/>
    <protectedRange password="EE42" sqref="S64" name="Range1_9_1"/>
    <protectedRange password="EE42" sqref="S45" name="Range1_10_2_2_2"/>
    <protectedRange password="EE42" sqref="T36 T97 T62:T63 T59 T74:T75 T13 T31:T34 T55:T56 T91:T95 T44 T65:T71" name="Range1_10_2"/>
    <protectedRange password="EE42" sqref="T101:T103" name="Range1_7_8_1"/>
    <protectedRange password="EE42" sqref="T64" name="Range1_9_1_1"/>
    <protectedRange password="EE42" sqref="T45" name="Range1_10_2_2_4"/>
    <protectedRange password="EE42" sqref="Q105:Q65536" name="Range1_11"/>
    <protectedRange password="EE42" sqref="Q52 Q22 Q36:R36 Q97:R97 Q62:R63 Q104 Q59:R59 Q74:R75 Q13:R13 Q31:R34 Q91:R95 Q44:R44 Q65:R71 Q55:R56 Y56" name="Range1_11_1"/>
    <protectedRange password="EE42" sqref="Q101:R103" name="Range1_7_1"/>
    <protectedRange password="EE42" sqref="Q64:R64 U64 X64" name="Range1_9_2"/>
    <protectedRange password="EE42" sqref="Q45" name="Range1_10_2_2_2_1"/>
    <protectedRange password="EE42" sqref="R45" name="Range1_10_2_2_4_1"/>
    <protectedRange password="EE42" sqref="K105:K65536" name="Range1_12"/>
    <protectedRange password="EE42" sqref="K52 K22 K36:L36 K97:L97 K62:L63 K104 K59:L59 K74:L75 K13:L13 K31:L34 K91:L95 K44:L44 K65:L71 K55:L56" name="Range1_11_2"/>
    <protectedRange password="EE42" sqref="K101:L103" name="Range1_7_1_1"/>
    <protectedRange password="EE42" sqref="K64:L64" name="Range1_9_2_1"/>
    <protectedRange password="EE42" sqref="K45" name="Range1_10_2_2_2_1_1"/>
    <protectedRange password="EE42" sqref="L45" name="Range1_10_2_2_4_1_1"/>
    <protectedRange password="EE42" sqref="Y55" name="Range1_13"/>
  </protectedRanges>
  <autoFilter ref="A1:Y143" xr:uid="{00000000-0009-0000-0000-000005000000}"/>
  <dataValidations count="4">
    <dataValidation type="list" allowBlank="1" showInputMessage="1" showErrorMessage="1" sqref="I29" xr:uid="{00000000-0002-0000-0500-00000E000000}">
      <formula1>$O$29:$S$29</formula1>
    </dataValidation>
    <dataValidation type="list" allowBlank="1" showInputMessage="1" showErrorMessage="1" sqref="T52" xr:uid="{7D658EE2-39A7-4D59-9B4C-85138FA3400B}">
      <formula1>$U$52:$U$52</formula1>
    </dataValidation>
    <dataValidation type="list" allowBlank="1" showInputMessage="1" showErrorMessage="1" sqref="R52 L52" xr:uid="{A31DC3CE-36C4-472B-8A59-8E0ADC2D4694}">
      <formula1>$S$52:$T$52</formula1>
    </dataValidation>
    <dataValidation type="list" allowBlank="1" showInputMessage="1" showErrorMessage="1" sqref="R128 L128" xr:uid="{057B79E9-5635-400A-A363-2ECF5FE7384F}">
      <formula1>$S$128:$T$128</formula1>
    </dataValidation>
  </dataValidations>
  <printOptions horizontalCentered="1"/>
  <pageMargins left="0.25" right="0.25" top="0.5" bottom="0.5" header="0.3" footer="0.17"/>
  <pageSetup paperSize="5" scale="72" fitToHeight="22" orientation="landscape" horizontalDpi="300" verticalDpi="300" r:id="rId1"/>
  <headerFooter>
    <oddHeader>&amp;L&amp;"Arial,Regular"Refinitiv&amp;C&amp;"Arial,Regular"DIST Reverse Mapping &amp;A&amp;R&amp;"Arial,Regular"New Installations - Conversions</oddHeader>
    <oddFooter>&amp;L&amp;"Arial,Regular"&amp;8Confidential&amp;C&amp;"Arial,Regular"&amp;8&amp;D&amp;R&amp;"Arial,Regular"&amp;8Page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53"/>
  <sheetViews>
    <sheetView zoomScaleNormal="100" workbookViewId="0">
      <pane ySplit="1" topLeftCell="A18" activePane="bottomLeft" state="frozen"/>
      <selection pane="bottomLeft" activeCell="A30" sqref="A30"/>
    </sheetView>
  </sheetViews>
  <sheetFormatPr defaultColWidth="9.140625" defaultRowHeight="15"/>
  <cols>
    <col min="1" max="1" width="10.5703125" style="327" customWidth="1"/>
    <col min="2" max="2" width="11.7109375" style="327" customWidth="1"/>
    <col min="3" max="3" width="20.28515625" style="420" customWidth="1"/>
    <col min="4" max="4" width="10.5703125" style="327" customWidth="1"/>
    <col min="5" max="5" width="8.42578125" style="327" bestFit="1" customWidth="1"/>
    <col min="6" max="9" width="9.140625" style="327"/>
    <col min="10" max="10" width="8.42578125" style="327" customWidth="1"/>
    <col min="11" max="11" width="9.140625" style="327"/>
    <col min="12" max="12" width="8.42578125" style="327" bestFit="1" customWidth="1"/>
    <col min="13" max="15" width="9.140625" style="327"/>
    <col min="16" max="16" width="11.7109375" style="327" customWidth="1"/>
    <col min="17" max="17" width="27.7109375" style="327" customWidth="1"/>
    <col min="18" max="18" width="23.140625" style="327" customWidth="1"/>
    <col min="19" max="19" width="10.140625" style="327" customWidth="1"/>
    <col min="20" max="20" width="25.85546875" style="327" customWidth="1"/>
    <col min="21" max="21" width="9.140625" style="327"/>
    <col min="22" max="22" width="41.85546875" style="327" customWidth="1"/>
    <col min="23" max="16384" width="9.140625" style="327"/>
  </cols>
  <sheetData>
    <row r="1" spans="1:28" ht="105">
      <c r="A1" s="340" t="s">
        <v>878</v>
      </c>
      <c r="B1" s="341" t="s">
        <v>553</v>
      </c>
      <c r="C1" s="342" t="s">
        <v>879</v>
      </c>
      <c r="D1" s="342" t="s">
        <v>554</v>
      </c>
      <c r="E1" s="342" t="s">
        <v>555</v>
      </c>
      <c r="F1" s="342" t="s">
        <v>556</v>
      </c>
      <c r="G1" s="342" t="s">
        <v>557</v>
      </c>
      <c r="H1" s="342" t="s">
        <v>558</v>
      </c>
      <c r="I1" s="342" t="s">
        <v>559</v>
      </c>
      <c r="J1" s="342" t="s">
        <v>560</v>
      </c>
      <c r="K1" s="342" t="s">
        <v>561</v>
      </c>
      <c r="L1" s="342" t="s">
        <v>562</v>
      </c>
      <c r="M1" s="342" t="s">
        <v>563</v>
      </c>
      <c r="N1" s="342" t="s">
        <v>564</v>
      </c>
      <c r="O1" s="343" t="s">
        <v>565</v>
      </c>
      <c r="P1" s="344" t="s">
        <v>566</v>
      </c>
      <c r="Q1" s="340" t="s">
        <v>567</v>
      </c>
      <c r="R1" s="340" t="s">
        <v>568</v>
      </c>
      <c r="S1" s="345" t="s">
        <v>880</v>
      </c>
      <c r="T1" s="346" t="s">
        <v>114</v>
      </c>
      <c r="U1" s="347" t="s">
        <v>569</v>
      </c>
      <c r="V1" s="348" t="s">
        <v>949</v>
      </c>
    </row>
    <row r="2" spans="1:28" ht="45">
      <c r="A2" s="349"/>
      <c r="B2" s="167" t="s">
        <v>580</v>
      </c>
      <c r="C2" s="350" t="s">
        <v>881</v>
      </c>
      <c r="D2" s="351" t="s">
        <v>53</v>
      </c>
      <c r="E2" s="351" t="s">
        <v>53</v>
      </c>
      <c r="F2" s="351" t="s">
        <v>53</v>
      </c>
      <c r="G2" s="351" t="s">
        <v>53</v>
      </c>
      <c r="H2" s="351" t="s">
        <v>53</v>
      </c>
      <c r="I2" s="351" t="s">
        <v>53</v>
      </c>
      <c r="J2" s="351" t="s">
        <v>53</v>
      </c>
      <c r="K2" s="351" t="s">
        <v>53</v>
      </c>
      <c r="L2" s="351" t="s">
        <v>53</v>
      </c>
      <c r="M2" s="351" t="s">
        <v>53</v>
      </c>
      <c r="N2" s="351" t="s">
        <v>53</v>
      </c>
      <c r="O2" s="352" t="s">
        <v>53</v>
      </c>
      <c r="P2" s="351" t="s">
        <v>60</v>
      </c>
      <c r="Q2" s="351" t="s">
        <v>962</v>
      </c>
      <c r="R2" s="353" t="s">
        <v>882</v>
      </c>
      <c r="S2" s="354"/>
      <c r="T2" s="355" t="s">
        <v>975</v>
      </c>
      <c r="U2" s="356">
        <v>826</v>
      </c>
      <c r="V2" s="357"/>
    </row>
    <row r="3" spans="1:28" ht="34.5" thickBot="1">
      <c r="A3" s="358"/>
      <c r="B3" s="359" t="s">
        <v>580</v>
      </c>
      <c r="C3" s="360" t="s">
        <v>881</v>
      </c>
      <c r="D3" s="361" t="s">
        <v>53</v>
      </c>
      <c r="E3" s="361" t="s">
        <v>53</v>
      </c>
      <c r="F3" s="361" t="s">
        <v>53</v>
      </c>
      <c r="G3" s="361" t="s">
        <v>53</v>
      </c>
      <c r="H3" s="361" t="s">
        <v>53</v>
      </c>
      <c r="I3" s="361" t="s">
        <v>53</v>
      </c>
      <c r="J3" s="361" t="s">
        <v>53</v>
      </c>
      <c r="K3" s="361" t="s">
        <v>53</v>
      </c>
      <c r="L3" s="361" t="s">
        <v>53</v>
      </c>
      <c r="M3" s="361" t="s">
        <v>53</v>
      </c>
      <c r="N3" s="361" t="s">
        <v>53</v>
      </c>
      <c r="O3" s="362" t="s">
        <v>53</v>
      </c>
      <c r="P3" s="363" t="s">
        <v>60</v>
      </c>
      <c r="Q3" s="364" t="s">
        <v>972</v>
      </c>
      <c r="R3" s="365" t="s">
        <v>882</v>
      </c>
      <c r="S3" s="366"/>
      <c r="T3" s="366"/>
      <c r="U3" s="356">
        <v>834</v>
      </c>
    </row>
    <row r="4" spans="1:28">
      <c r="A4" s="169"/>
      <c r="B4" s="166" t="s">
        <v>570</v>
      </c>
      <c r="C4" s="350" t="s">
        <v>883</v>
      </c>
      <c r="D4" s="367" t="s">
        <v>53</v>
      </c>
      <c r="E4" s="185" t="s">
        <v>54</v>
      </c>
      <c r="F4" s="185" t="s">
        <v>54</v>
      </c>
      <c r="G4" s="185" t="s">
        <v>54</v>
      </c>
      <c r="H4" s="185" t="s">
        <v>54</v>
      </c>
      <c r="I4" s="185" t="s">
        <v>54</v>
      </c>
      <c r="J4" s="185" t="s">
        <v>54</v>
      </c>
      <c r="K4" s="185" t="s">
        <v>54</v>
      </c>
      <c r="L4" s="185" t="s">
        <v>54</v>
      </c>
      <c r="M4" s="185" t="s">
        <v>54</v>
      </c>
      <c r="N4" s="185" t="s">
        <v>54</v>
      </c>
      <c r="O4" s="368" t="s">
        <v>54</v>
      </c>
      <c r="P4" s="369" t="s">
        <v>68</v>
      </c>
      <c r="Q4" s="370" t="s">
        <v>884</v>
      </c>
      <c r="R4" s="166">
        <v>2026</v>
      </c>
      <c r="S4" s="354"/>
      <c r="T4" s="371"/>
      <c r="U4" s="372">
        <v>77</v>
      </c>
    </row>
    <row r="5" spans="1:28">
      <c r="A5" s="169"/>
      <c r="B5" s="166" t="s">
        <v>570</v>
      </c>
      <c r="C5" s="350" t="s">
        <v>883</v>
      </c>
      <c r="D5" s="166" t="s">
        <v>54</v>
      </c>
      <c r="E5" s="351" t="s">
        <v>53</v>
      </c>
      <c r="F5" s="166" t="s">
        <v>54</v>
      </c>
      <c r="G5" s="166" t="s">
        <v>54</v>
      </c>
      <c r="H5" s="166" t="s">
        <v>54</v>
      </c>
      <c r="I5" s="166" t="s">
        <v>54</v>
      </c>
      <c r="J5" s="166" t="s">
        <v>54</v>
      </c>
      <c r="K5" s="166" t="s">
        <v>54</v>
      </c>
      <c r="L5" s="166" t="s">
        <v>54</v>
      </c>
      <c r="M5" s="166" t="s">
        <v>54</v>
      </c>
      <c r="N5" s="166" t="s">
        <v>54</v>
      </c>
      <c r="O5" s="373" t="s">
        <v>54</v>
      </c>
      <c r="P5" s="369" t="s">
        <v>68</v>
      </c>
      <c r="Q5" s="370" t="s">
        <v>885</v>
      </c>
      <c r="R5" s="166">
        <v>2026</v>
      </c>
      <c r="S5" s="354"/>
      <c r="T5" s="169"/>
      <c r="U5" s="372">
        <v>47</v>
      </c>
    </row>
    <row r="6" spans="1:28">
      <c r="A6" s="169"/>
      <c r="B6" s="166" t="s">
        <v>570</v>
      </c>
      <c r="C6" s="350" t="s">
        <v>883</v>
      </c>
      <c r="D6" s="166" t="s">
        <v>54</v>
      </c>
      <c r="E6" s="166" t="s">
        <v>54</v>
      </c>
      <c r="F6" s="351" t="s">
        <v>53</v>
      </c>
      <c r="G6" s="166" t="s">
        <v>54</v>
      </c>
      <c r="H6" s="166" t="s">
        <v>54</v>
      </c>
      <c r="I6" s="166" t="s">
        <v>54</v>
      </c>
      <c r="J6" s="166" t="s">
        <v>54</v>
      </c>
      <c r="K6" s="166" t="s">
        <v>54</v>
      </c>
      <c r="L6" s="166" t="s">
        <v>54</v>
      </c>
      <c r="M6" s="166" t="s">
        <v>54</v>
      </c>
      <c r="N6" s="166" t="s">
        <v>54</v>
      </c>
      <c r="O6" s="373" t="s">
        <v>54</v>
      </c>
      <c r="P6" s="369" t="s">
        <v>68</v>
      </c>
      <c r="Q6" s="370" t="s">
        <v>886</v>
      </c>
      <c r="R6" s="166">
        <v>2026</v>
      </c>
      <c r="S6" s="354"/>
      <c r="T6" s="169"/>
      <c r="U6" s="372">
        <v>75</v>
      </c>
      <c r="W6" s="327" t="s">
        <v>2</v>
      </c>
    </row>
    <row r="7" spans="1:28" ht="30">
      <c r="A7" s="169"/>
      <c r="B7" s="166" t="s">
        <v>570</v>
      </c>
      <c r="C7" s="350" t="s">
        <v>883</v>
      </c>
      <c r="D7" s="166" t="s">
        <v>54</v>
      </c>
      <c r="E7" s="166" t="s">
        <v>54</v>
      </c>
      <c r="F7" s="166" t="s">
        <v>54</v>
      </c>
      <c r="G7" s="351" t="s">
        <v>53</v>
      </c>
      <c r="H7" s="166" t="s">
        <v>54</v>
      </c>
      <c r="I7" s="166" t="s">
        <v>54</v>
      </c>
      <c r="J7" s="374" t="s">
        <v>54</v>
      </c>
      <c r="K7" s="166" t="s">
        <v>54</v>
      </c>
      <c r="L7" s="166" t="s">
        <v>54</v>
      </c>
      <c r="M7" s="166" t="s">
        <v>54</v>
      </c>
      <c r="N7" s="166" t="s">
        <v>54</v>
      </c>
      <c r="O7" s="373" t="s">
        <v>54</v>
      </c>
      <c r="P7" s="369" t="s">
        <v>68</v>
      </c>
      <c r="Q7" s="370" t="s">
        <v>887</v>
      </c>
      <c r="R7" s="353">
        <v>2026</v>
      </c>
      <c r="S7" s="354"/>
      <c r="T7" s="169"/>
      <c r="U7" s="372">
        <v>29</v>
      </c>
      <c r="W7" s="357"/>
      <c r="X7" s="357" t="s">
        <v>888</v>
      </c>
      <c r="Y7" s="357" t="s">
        <v>888</v>
      </c>
    </row>
    <row r="8" spans="1:28">
      <c r="A8" s="169"/>
      <c r="B8" s="166" t="s">
        <v>570</v>
      </c>
      <c r="C8" s="350" t="s">
        <v>883</v>
      </c>
      <c r="D8" s="166" t="s">
        <v>54</v>
      </c>
      <c r="E8" s="166" t="s">
        <v>54</v>
      </c>
      <c r="F8" s="166" t="s">
        <v>54</v>
      </c>
      <c r="G8" s="166" t="s">
        <v>54</v>
      </c>
      <c r="H8" s="351" t="s">
        <v>53</v>
      </c>
      <c r="I8" s="166" t="s">
        <v>54</v>
      </c>
      <c r="J8" s="166" t="s">
        <v>54</v>
      </c>
      <c r="K8" s="166" t="s">
        <v>54</v>
      </c>
      <c r="L8" s="166" t="s">
        <v>54</v>
      </c>
      <c r="M8" s="166" t="s">
        <v>54</v>
      </c>
      <c r="N8" s="166" t="s">
        <v>54</v>
      </c>
      <c r="O8" s="373" t="s">
        <v>54</v>
      </c>
      <c r="P8" s="369" t="s">
        <v>68</v>
      </c>
      <c r="Q8" s="370" t="s">
        <v>889</v>
      </c>
      <c r="R8" s="353">
        <v>2026</v>
      </c>
      <c r="S8" s="354"/>
      <c r="T8" s="169"/>
      <c r="U8" s="372">
        <v>29</v>
      </c>
      <c r="V8" s="375"/>
      <c r="AB8" s="375"/>
    </row>
    <row r="9" spans="1:28">
      <c r="A9" s="169"/>
      <c r="B9" s="166" t="s">
        <v>570</v>
      </c>
      <c r="C9" s="350" t="s">
        <v>883</v>
      </c>
      <c r="D9" s="166" t="s">
        <v>54</v>
      </c>
      <c r="E9" s="166" t="s">
        <v>54</v>
      </c>
      <c r="F9" s="166" t="s">
        <v>54</v>
      </c>
      <c r="G9" s="166" t="s">
        <v>54</v>
      </c>
      <c r="H9" s="166" t="s">
        <v>54</v>
      </c>
      <c r="I9" s="351" t="s">
        <v>53</v>
      </c>
      <c r="J9" s="166" t="s">
        <v>54</v>
      </c>
      <c r="K9" s="166" t="s">
        <v>54</v>
      </c>
      <c r="L9" s="166" t="s">
        <v>54</v>
      </c>
      <c r="M9" s="166" t="s">
        <v>54</v>
      </c>
      <c r="N9" s="166" t="s">
        <v>54</v>
      </c>
      <c r="O9" s="373" t="s">
        <v>54</v>
      </c>
      <c r="P9" s="369" t="s">
        <v>68</v>
      </c>
      <c r="Q9" s="370" t="s">
        <v>890</v>
      </c>
      <c r="R9" s="353">
        <v>2026</v>
      </c>
      <c r="S9" s="354"/>
      <c r="T9" s="169"/>
      <c r="U9" s="372">
        <v>17</v>
      </c>
      <c r="V9" s="375"/>
      <c r="AB9" s="375"/>
    </row>
    <row r="10" spans="1:28">
      <c r="A10" s="480">
        <v>45811</v>
      </c>
      <c r="B10" s="469" t="s">
        <v>570</v>
      </c>
      <c r="C10" s="470" t="s">
        <v>883</v>
      </c>
      <c r="D10" s="469" t="s">
        <v>54</v>
      </c>
      <c r="E10" s="469" t="s">
        <v>54</v>
      </c>
      <c r="F10" s="469" t="s">
        <v>54</v>
      </c>
      <c r="G10" s="469" t="s">
        <v>54</v>
      </c>
      <c r="H10" s="469" t="s">
        <v>54</v>
      </c>
      <c r="I10" s="471" t="s">
        <v>53</v>
      </c>
      <c r="J10" s="469" t="s">
        <v>54</v>
      </c>
      <c r="K10" s="469" t="s">
        <v>54</v>
      </c>
      <c r="L10" s="469" t="s">
        <v>54</v>
      </c>
      <c r="M10" s="469" t="s">
        <v>54</v>
      </c>
      <c r="N10" s="469" t="s">
        <v>54</v>
      </c>
      <c r="O10" s="472" t="s">
        <v>54</v>
      </c>
      <c r="P10" s="473" t="s">
        <v>68</v>
      </c>
      <c r="Q10" s="474" t="s">
        <v>890</v>
      </c>
      <c r="R10" s="469">
        <v>2026</v>
      </c>
      <c r="S10" s="354"/>
      <c r="T10" s="475" t="s">
        <v>961</v>
      </c>
      <c r="U10" s="372">
        <v>30</v>
      </c>
      <c r="V10" s="375"/>
      <c r="AB10" s="375"/>
    </row>
    <row r="11" spans="1:28">
      <c r="A11" s="169"/>
      <c r="B11" s="166" t="s">
        <v>570</v>
      </c>
      <c r="C11" s="350" t="s">
        <v>883</v>
      </c>
      <c r="D11" s="166" t="s">
        <v>54</v>
      </c>
      <c r="E11" s="166" t="s">
        <v>54</v>
      </c>
      <c r="F11" s="166" t="s">
        <v>54</v>
      </c>
      <c r="G11" s="166" t="s">
        <v>54</v>
      </c>
      <c r="H11" s="166" t="s">
        <v>54</v>
      </c>
      <c r="I11" s="166" t="s">
        <v>54</v>
      </c>
      <c r="J11" s="351" t="s">
        <v>53</v>
      </c>
      <c r="K11" s="166" t="s">
        <v>54</v>
      </c>
      <c r="L11" s="166" t="s">
        <v>54</v>
      </c>
      <c r="M11" s="166" t="s">
        <v>54</v>
      </c>
      <c r="N11" s="166" t="s">
        <v>54</v>
      </c>
      <c r="O11" s="373" t="s">
        <v>54</v>
      </c>
      <c r="P11" s="369" t="s">
        <v>68</v>
      </c>
      <c r="Q11" s="370" t="s">
        <v>891</v>
      </c>
      <c r="R11" s="353">
        <v>2026</v>
      </c>
      <c r="S11" s="354"/>
      <c r="T11" s="169"/>
      <c r="U11" s="372">
        <v>26</v>
      </c>
      <c r="V11" s="376"/>
      <c r="AB11" s="375"/>
    </row>
    <row r="12" spans="1:28" ht="33.75">
      <c r="A12" s="169"/>
      <c r="B12" s="166" t="s">
        <v>570</v>
      </c>
      <c r="C12" s="350" t="s">
        <v>883</v>
      </c>
      <c r="D12" s="166" t="s">
        <v>54</v>
      </c>
      <c r="E12" s="166" t="s">
        <v>54</v>
      </c>
      <c r="F12" s="166" t="s">
        <v>54</v>
      </c>
      <c r="G12" s="166" t="s">
        <v>54</v>
      </c>
      <c r="H12" s="166" t="s">
        <v>54</v>
      </c>
      <c r="I12" s="166" t="s">
        <v>54</v>
      </c>
      <c r="J12" s="166" t="s">
        <v>54</v>
      </c>
      <c r="K12" s="351" t="s">
        <v>53</v>
      </c>
      <c r="L12" s="166" t="s">
        <v>54</v>
      </c>
      <c r="M12" s="166" t="s">
        <v>54</v>
      </c>
      <c r="N12" s="166" t="s">
        <v>54</v>
      </c>
      <c r="O12" s="373" t="s">
        <v>54</v>
      </c>
      <c r="P12" s="369" t="s">
        <v>68</v>
      </c>
      <c r="Q12" s="370" t="s">
        <v>892</v>
      </c>
      <c r="R12" s="351" t="s">
        <v>958</v>
      </c>
      <c r="S12" s="354"/>
      <c r="T12" s="169"/>
      <c r="U12" s="372">
        <v>21</v>
      </c>
      <c r="V12" s="376"/>
      <c r="AB12" s="375"/>
    </row>
    <row r="13" spans="1:28" ht="33.75">
      <c r="A13" s="169"/>
      <c r="B13" s="166" t="s">
        <v>570</v>
      </c>
      <c r="C13" s="350" t="s">
        <v>883</v>
      </c>
      <c r="D13" s="166" t="s">
        <v>54</v>
      </c>
      <c r="E13" s="166" t="s">
        <v>54</v>
      </c>
      <c r="F13" s="166" t="s">
        <v>54</v>
      </c>
      <c r="G13" s="166" t="s">
        <v>54</v>
      </c>
      <c r="H13" s="166" t="s">
        <v>54</v>
      </c>
      <c r="I13" s="166" t="s">
        <v>54</v>
      </c>
      <c r="J13" s="166" t="s">
        <v>54</v>
      </c>
      <c r="K13" s="166" t="s">
        <v>54</v>
      </c>
      <c r="L13" s="351" t="s">
        <v>53</v>
      </c>
      <c r="M13" s="166" t="s">
        <v>54</v>
      </c>
      <c r="N13" s="166" t="s">
        <v>54</v>
      </c>
      <c r="O13" s="373" t="s">
        <v>54</v>
      </c>
      <c r="P13" s="369" t="s">
        <v>68</v>
      </c>
      <c r="Q13" s="370" t="s">
        <v>893</v>
      </c>
      <c r="R13" s="351" t="s">
        <v>959</v>
      </c>
      <c r="S13" s="354"/>
      <c r="T13" s="170"/>
      <c r="U13" s="372">
        <v>29</v>
      </c>
      <c r="V13" s="376"/>
      <c r="AB13" s="375"/>
    </row>
    <row r="14" spans="1:28">
      <c r="A14" s="169"/>
      <c r="B14" s="166" t="s">
        <v>570</v>
      </c>
      <c r="C14" s="350" t="s">
        <v>883</v>
      </c>
      <c r="D14" s="166" t="s">
        <v>54</v>
      </c>
      <c r="E14" s="166" t="s">
        <v>54</v>
      </c>
      <c r="F14" s="166" t="s">
        <v>54</v>
      </c>
      <c r="G14" s="166" t="s">
        <v>54</v>
      </c>
      <c r="H14" s="166" t="s">
        <v>54</v>
      </c>
      <c r="I14" s="166" t="s">
        <v>54</v>
      </c>
      <c r="J14" s="166" t="s">
        <v>54</v>
      </c>
      <c r="K14" s="166" t="s">
        <v>54</v>
      </c>
      <c r="L14" s="166" t="s">
        <v>54</v>
      </c>
      <c r="M14" s="351" t="s">
        <v>53</v>
      </c>
      <c r="N14" s="166" t="s">
        <v>54</v>
      </c>
      <c r="O14" s="373" t="s">
        <v>54</v>
      </c>
      <c r="P14" s="369" t="s">
        <v>68</v>
      </c>
      <c r="Q14" s="370" t="s">
        <v>894</v>
      </c>
      <c r="R14" s="353">
        <v>2025</v>
      </c>
      <c r="S14" s="354"/>
      <c r="T14" s="169"/>
      <c r="U14" s="372">
        <v>97</v>
      </c>
      <c r="V14" s="376"/>
      <c r="AB14" s="375"/>
    </row>
    <row r="15" spans="1:28">
      <c r="A15" s="349"/>
      <c r="B15" s="166" t="s">
        <v>570</v>
      </c>
      <c r="C15" s="350" t="s">
        <v>883</v>
      </c>
      <c r="D15" s="166" t="s">
        <v>54</v>
      </c>
      <c r="E15" s="166" t="s">
        <v>54</v>
      </c>
      <c r="F15" s="166" t="s">
        <v>54</v>
      </c>
      <c r="G15" s="166" t="s">
        <v>54</v>
      </c>
      <c r="H15" s="166" t="s">
        <v>54</v>
      </c>
      <c r="I15" s="166" t="s">
        <v>54</v>
      </c>
      <c r="J15" s="166" t="s">
        <v>54</v>
      </c>
      <c r="K15" s="166" t="s">
        <v>54</v>
      </c>
      <c r="L15" s="166" t="s">
        <v>54</v>
      </c>
      <c r="M15" s="166" t="s">
        <v>54</v>
      </c>
      <c r="N15" s="351" t="s">
        <v>53</v>
      </c>
      <c r="O15" s="373" t="s">
        <v>54</v>
      </c>
      <c r="P15" s="369" t="s">
        <v>68</v>
      </c>
      <c r="Q15" s="370" t="s">
        <v>895</v>
      </c>
      <c r="R15" s="353">
        <v>2025</v>
      </c>
      <c r="S15" s="354"/>
      <c r="T15" s="169"/>
      <c r="U15" s="372">
        <v>150</v>
      </c>
      <c r="V15" s="377"/>
      <c r="AB15" s="375"/>
    </row>
    <row r="16" spans="1:28" ht="15.75" thickBot="1">
      <c r="A16" s="378"/>
      <c r="B16" s="379" t="s">
        <v>570</v>
      </c>
      <c r="C16" s="380" t="s">
        <v>883</v>
      </c>
      <c r="D16" s="379" t="s">
        <v>54</v>
      </c>
      <c r="E16" s="379" t="s">
        <v>54</v>
      </c>
      <c r="F16" s="379" t="s">
        <v>54</v>
      </c>
      <c r="G16" s="379" t="s">
        <v>54</v>
      </c>
      <c r="H16" s="379" t="s">
        <v>54</v>
      </c>
      <c r="I16" s="379" t="s">
        <v>54</v>
      </c>
      <c r="J16" s="379" t="s">
        <v>54</v>
      </c>
      <c r="K16" s="379" t="s">
        <v>54</v>
      </c>
      <c r="L16" s="379" t="s">
        <v>54</v>
      </c>
      <c r="M16" s="379" t="s">
        <v>54</v>
      </c>
      <c r="N16" s="379" t="s">
        <v>54</v>
      </c>
      <c r="O16" s="381" t="s">
        <v>53</v>
      </c>
      <c r="P16" s="382" t="s">
        <v>68</v>
      </c>
      <c r="Q16" s="383" t="s">
        <v>896</v>
      </c>
      <c r="R16" s="379">
        <v>2025</v>
      </c>
      <c r="S16" s="384"/>
      <c r="T16" s="378"/>
      <c r="U16" s="372">
        <v>225</v>
      </c>
      <c r="V16" s="376"/>
      <c r="AB16" s="375"/>
    </row>
    <row r="17" spans="1:35">
      <c r="A17" s="385"/>
      <c r="B17" s="184" t="s">
        <v>571</v>
      </c>
      <c r="C17" s="386" t="s">
        <v>881</v>
      </c>
      <c r="D17" s="351" t="s">
        <v>53</v>
      </c>
      <c r="E17" s="185" t="s">
        <v>54</v>
      </c>
      <c r="F17" s="185" t="s">
        <v>54</v>
      </c>
      <c r="G17" s="185" t="s">
        <v>54</v>
      </c>
      <c r="H17" s="185" t="s">
        <v>54</v>
      </c>
      <c r="I17" s="185" t="s">
        <v>54</v>
      </c>
      <c r="J17" s="351" t="s">
        <v>53</v>
      </c>
      <c r="K17" s="185" t="s">
        <v>54</v>
      </c>
      <c r="L17" s="185" t="s">
        <v>54</v>
      </c>
      <c r="M17" s="185" t="s">
        <v>54</v>
      </c>
      <c r="N17" s="185" t="s">
        <v>54</v>
      </c>
      <c r="O17" s="368" t="s">
        <v>54</v>
      </c>
      <c r="P17" s="387" t="s">
        <v>64</v>
      </c>
      <c r="Q17" s="370" t="s">
        <v>884</v>
      </c>
      <c r="R17" s="388">
        <v>2026</v>
      </c>
      <c r="S17" s="389"/>
      <c r="T17" s="187" t="s">
        <v>572</v>
      </c>
      <c r="U17" s="372">
        <v>1</v>
      </c>
      <c r="V17" s="376"/>
      <c r="AB17" s="375"/>
    </row>
    <row r="18" spans="1:35" ht="33.75">
      <c r="A18" s="480">
        <v>45811</v>
      </c>
      <c r="B18" s="167" t="s">
        <v>571</v>
      </c>
      <c r="C18" s="350" t="s">
        <v>881</v>
      </c>
      <c r="D18" s="166" t="s">
        <v>54</v>
      </c>
      <c r="E18" s="351" t="s">
        <v>53</v>
      </c>
      <c r="F18" s="166" t="s">
        <v>54</v>
      </c>
      <c r="G18" s="166" t="s">
        <v>54</v>
      </c>
      <c r="H18" s="166" t="s">
        <v>54</v>
      </c>
      <c r="I18" s="166" t="s">
        <v>54</v>
      </c>
      <c r="J18" s="166" t="s">
        <v>54</v>
      </c>
      <c r="K18" s="351" t="s">
        <v>53</v>
      </c>
      <c r="L18" s="166" t="s">
        <v>54</v>
      </c>
      <c r="M18" s="166" t="s">
        <v>54</v>
      </c>
      <c r="N18" s="166" t="s">
        <v>54</v>
      </c>
      <c r="O18" s="373" t="s">
        <v>54</v>
      </c>
      <c r="P18" s="369" t="s">
        <v>64</v>
      </c>
      <c r="Q18" s="478" t="s">
        <v>963</v>
      </c>
      <c r="R18" s="476">
        <v>2026</v>
      </c>
      <c r="S18" s="354"/>
      <c r="T18" s="166" t="s">
        <v>573</v>
      </c>
      <c r="U18" s="372">
        <v>1</v>
      </c>
      <c r="V18" s="376"/>
      <c r="AA18" s="116"/>
      <c r="AB18" s="375"/>
      <c r="AC18" s="116"/>
      <c r="AH18" s="116"/>
      <c r="AI18" s="116"/>
    </row>
    <row r="19" spans="1:35" s="457" customFormat="1" ht="34.5" thickBot="1">
      <c r="A19" s="480">
        <v>45811</v>
      </c>
      <c r="B19" s="167" t="s">
        <v>571</v>
      </c>
      <c r="C19" s="350" t="s">
        <v>881</v>
      </c>
      <c r="D19" s="166" t="s">
        <v>54</v>
      </c>
      <c r="E19" s="351" t="s">
        <v>53</v>
      </c>
      <c r="F19" s="166" t="s">
        <v>54</v>
      </c>
      <c r="G19" s="166" t="s">
        <v>54</v>
      </c>
      <c r="H19" s="166" t="s">
        <v>54</v>
      </c>
      <c r="I19" s="166" t="s">
        <v>54</v>
      </c>
      <c r="J19" s="166" t="s">
        <v>54</v>
      </c>
      <c r="K19" s="351" t="s">
        <v>53</v>
      </c>
      <c r="L19" s="166" t="s">
        <v>54</v>
      </c>
      <c r="M19" s="166" t="s">
        <v>54</v>
      </c>
      <c r="N19" s="166" t="s">
        <v>54</v>
      </c>
      <c r="O19" s="373" t="s">
        <v>54</v>
      </c>
      <c r="P19" s="369" t="s">
        <v>64</v>
      </c>
      <c r="Q19" s="479" t="s">
        <v>964</v>
      </c>
      <c r="R19" s="476">
        <v>2025</v>
      </c>
      <c r="S19" s="354"/>
      <c r="T19" s="166" t="s">
        <v>573</v>
      </c>
      <c r="U19" s="372">
        <v>1</v>
      </c>
      <c r="V19" s="376"/>
      <c r="AA19" s="116"/>
      <c r="AB19" s="375"/>
      <c r="AC19" s="116"/>
      <c r="AH19" s="116"/>
      <c r="AI19" s="116"/>
    </row>
    <row r="20" spans="1:35">
      <c r="A20" s="169"/>
      <c r="B20" s="167" t="s">
        <v>571</v>
      </c>
      <c r="C20" s="350" t="s">
        <v>881</v>
      </c>
      <c r="D20" s="166" t="s">
        <v>54</v>
      </c>
      <c r="E20" s="166" t="s">
        <v>54</v>
      </c>
      <c r="F20" s="351" t="s">
        <v>53</v>
      </c>
      <c r="G20" s="166" t="s">
        <v>54</v>
      </c>
      <c r="H20" s="166" t="s">
        <v>54</v>
      </c>
      <c r="I20" s="166" t="s">
        <v>54</v>
      </c>
      <c r="J20" s="166" t="s">
        <v>54</v>
      </c>
      <c r="K20" s="166" t="s">
        <v>54</v>
      </c>
      <c r="L20" s="351" t="s">
        <v>53</v>
      </c>
      <c r="M20" s="166" t="s">
        <v>54</v>
      </c>
      <c r="N20" s="166" t="s">
        <v>54</v>
      </c>
      <c r="O20" s="373" t="s">
        <v>54</v>
      </c>
      <c r="P20" s="369" t="s">
        <v>64</v>
      </c>
      <c r="Q20" s="455" t="s">
        <v>886</v>
      </c>
      <c r="R20" s="353">
        <v>2025</v>
      </c>
      <c r="S20" s="354"/>
      <c r="T20" s="166" t="s">
        <v>574</v>
      </c>
      <c r="U20" s="372">
        <v>2</v>
      </c>
      <c r="V20" s="376"/>
      <c r="AB20" s="375"/>
    </row>
    <row r="21" spans="1:35">
      <c r="A21" s="169"/>
      <c r="B21" s="167" t="s">
        <v>571</v>
      </c>
      <c r="C21" s="350" t="s">
        <v>881</v>
      </c>
      <c r="D21" s="166" t="s">
        <v>54</v>
      </c>
      <c r="E21" s="166" t="s">
        <v>54</v>
      </c>
      <c r="F21" s="166" t="s">
        <v>54</v>
      </c>
      <c r="G21" s="351" t="s">
        <v>53</v>
      </c>
      <c r="H21" s="166" t="s">
        <v>54</v>
      </c>
      <c r="I21" s="166" t="s">
        <v>54</v>
      </c>
      <c r="J21" s="166" t="s">
        <v>54</v>
      </c>
      <c r="K21" s="166" t="s">
        <v>54</v>
      </c>
      <c r="L21" s="166" t="s">
        <v>54</v>
      </c>
      <c r="M21" s="351" t="s">
        <v>53</v>
      </c>
      <c r="N21" s="166" t="s">
        <v>54</v>
      </c>
      <c r="O21" s="373" t="s">
        <v>54</v>
      </c>
      <c r="P21" s="369" t="s">
        <v>64</v>
      </c>
      <c r="Q21" s="370" t="s">
        <v>887</v>
      </c>
      <c r="R21" s="353">
        <v>2025</v>
      </c>
      <c r="S21" s="354"/>
      <c r="T21" s="166" t="s">
        <v>575</v>
      </c>
      <c r="U21" s="390">
        <v>3</v>
      </c>
      <c r="V21" s="391"/>
    </row>
    <row r="22" spans="1:35">
      <c r="A22" s="349"/>
      <c r="B22" s="167" t="s">
        <v>571</v>
      </c>
      <c r="C22" s="350" t="s">
        <v>881</v>
      </c>
      <c r="D22" s="166" t="s">
        <v>54</v>
      </c>
      <c r="E22" s="166" t="s">
        <v>54</v>
      </c>
      <c r="F22" s="166" t="s">
        <v>54</v>
      </c>
      <c r="G22" s="166" t="s">
        <v>54</v>
      </c>
      <c r="H22" s="351" t="s">
        <v>53</v>
      </c>
      <c r="I22" s="166" t="s">
        <v>54</v>
      </c>
      <c r="J22" s="166" t="s">
        <v>54</v>
      </c>
      <c r="K22" s="166" t="s">
        <v>54</v>
      </c>
      <c r="L22" s="166" t="s">
        <v>54</v>
      </c>
      <c r="M22" s="166" t="s">
        <v>54</v>
      </c>
      <c r="N22" s="351" t="s">
        <v>53</v>
      </c>
      <c r="O22" s="373" t="s">
        <v>54</v>
      </c>
      <c r="P22" s="369" t="s">
        <v>64</v>
      </c>
      <c r="Q22" s="370" t="s">
        <v>889</v>
      </c>
      <c r="R22" s="166">
        <v>2025</v>
      </c>
      <c r="S22" s="354"/>
      <c r="T22" s="166" t="s">
        <v>576</v>
      </c>
      <c r="U22" s="372">
        <v>0</v>
      </c>
    </row>
    <row r="23" spans="1:35" ht="23.25" thickBot="1">
      <c r="A23" s="378"/>
      <c r="B23" s="392" t="s">
        <v>571</v>
      </c>
      <c r="C23" s="380" t="s">
        <v>881</v>
      </c>
      <c r="D23" s="379" t="s">
        <v>54</v>
      </c>
      <c r="E23" s="379" t="s">
        <v>54</v>
      </c>
      <c r="F23" s="379" t="s">
        <v>54</v>
      </c>
      <c r="G23" s="379" t="s">
        <v>54</v>
      </c>
      <c r="H23" s="379" t="s">
        <v>54</v>
      </c>
      <c r="I23" s="361" t="s">
        <v>53</v>
      </c>
      <c r="J23" s="379" t="s">
        <v>54</v>
      </c>
      <c r="K23" s="379" t="s">
        <v>54</v>
      </c>
      <c r="L23" s="379" t="s">
        <v>54</v>
      </c>
      <c r="M23" s="379" t="s">
        <v>54</v>
      </c>
      <c r="N23" s="379" t="s">
        <v>54</v>
      </c>
      <c r="O23" s="361" t="s">
        <v>53</v>
      </c>
      <c r="P23" s="382" t="s">
        <v>64</v>
      </c>
      <c r="Q23" s="383" t="s">
        <v>890</v>
      </c>
      <c r="R23" s="379" t="s">
        <v>882</v>
      </c>
      <c r="S23" s="384"/>
      <c r="T23" s="379" t="s">
        <v>577</v>
      </c>
      <c r="U23" s="372">
        <v>4</v>
      </c>
      <c r="V23" s="357"/>
    </row>
    <row r="24" spans="1:35">
      <c r="A24" s="385"/>
      <c r="B24" s="184" t="s">
        <v>578</v>
      </c>
      <c r="C24" s="386" t="s">
        <v>897</v>
      </c>
      <c r="D24" s="185" t="s">
        <v>54</v>
      </c>
      <c r="E24" s="185" t="s">
        <v>54</v>
      </c>
      <c r="F24" s="367" t="s">
        <v>53</v>
      </c>
      <c r="G24" s="185" t="s">
        <v>54</v>
      </c>
      <c r="H24" s="185" t="s">
        <v>54</v>
      </c>
      <c r="I24" s="367" t="s">
        <v>53</v>
      </c>
      <c r="J24" s="185" t="s">
        <v>54</v>
      </c>
      <c r="K24" s="185" t="s">
        <v>54</v>
      </c>
      <c r="L24" s="367" t="s">
        <v>53</v>
      </c>
      <c r="M24" s="185" t="s">
        <v>54</v>
      </c>
      <c r="N24" s="185" t="s">
        <v>54</v>
      </c>
      <c r="O24" s="393" t="s">
        <v>53</v>
      </c>
      <c r="P24" s="387" t="s">
        <v>579</v>
      </c>
      <c r="Q24" s="455" t="s">
        <v>890</v>
      </c>
      <c r="R24" s="185">
        <v>2025</v>
      </c>
      <c r="S24" s="389"/>
      <c r="T24" s="186" t="s">
        <v>898</v>
      </c>
      <c r="U24" s="372">
        <v>15</v>
      </c>
      <c r="V24" s="395" t="s">
        <v>899</v>
      </c>
    </row>
    <row r="25" spans="1:35">
      <c r="A25" s="480">
        <v>45811</v>
      </c>
      <c r="B25" s="167" t="s">
        <v>578</v>
      </c>
      <c r="C25" s="350" t="s">
        <v>897</v>
      </c>
      <c r="D25" s="476" t="s">
        <v>53</v>
      </c>
      <c r="E25" s="476" t="s">
        <v>54</v>
      </c>
      <c r="F25" s="476" t="s">
        <v>54</v>
      </c>
      <c r="G25" s="476" t="s">
        <v>53</v>
      </c>
      <c r="H25" s="476" t="s">
        <v>54</v>
      </c>
      <c r="I25" s="476" t="s">
        <v>54</v>
      </c>
      <c r="J25" s="476" t="s">
        <v>53</v>
      </c>
      <c r="K25" s="476" t="s">
        <v>54</v>
      </c>
      <c r="L25" s="476" t="s">
        <v>54</v>
      </c>
      <c r="M25" s="476" t="s">
        <v>53</v>
      </c>
      <c r="N25" s="476" t="s">
        <v>54</v>
      </c>
      <c r="O25" s="477" t="s">
        <v>54</v>
      </c>
      <c r="P25" s="369" t="s">
        <v>579</v>
      </c>
      <c r="Q25" s="370" t="s">
        <v>891</v>
      </c>
      <c r="R25" s="166">
        <v>2025</v>
      </c>
      <c r="S25" s="354"/>
      <c r="T25" s="166" t="s">
        <v>900</v>
      </c>
      <c r="U25" s="372"/>
    </row>
    <row r="26" spans="1:35" ht="33.75">
      <c r="A26" s="480">
        <v>45811</v>
      </c>
      <c r="B26" s="167" t="s">
        <v>578</v>
      </c>
      <c r="C26" s="350" t="s">
        <v>897</v>
      </c>
      <c r="D26" s="481" t="s">
        <v>54</v>
      </c>
      <c r="E26" s="476" t="s">
        <v>53</v>
      </c>
      <c r="F26" s="481" t="s">
        <v>54</v>
      </c>
      <c r="G26" s="481" t="s">
        <v>54</v>
      </c>
      <c r="H26" s="476" t="s">
        <v>53</v>
      </c>
      <c r="I26" s="481" t="s">
        <v>54</v>
      </c>
      <c r="J26" s="481" t="s">
        <v>54</v>
      </c>
      <c r="K26" s="476" t="s">
        <v>53</v>
      </c>
      <c r="L26" s="481" t="s">
        <v>54</v>
      </c>
      <c r="M26" s="481" t="s">
        <v>54</v>
      </c>
      <c r="N26" s="481" t="s">
        <v>53</v>
      </c>
      <c r="O26" s="482" t="s">
        <v>54</v>
      </c>
      <c r="P26" s="369" t="s">
        <v>579</v>
      </c>
      <c r="Q26" s="478" t="s">
        <v>965</v>
      </c>
      <c r="R26" s="166">
        <v>2025</v>
      </c>
      <c r="S26" s="354"/>
      <c r="T26" s="166" t="s">
        <v>901</v>
      </c>
      <c r="U26" s="372"/>
    </row>
    <row r="27" spans="1:35" ht="34.5" thickBot="1">
      <c r="A27" s="480">
        <v>45811</v>
      </c>
      <c r="B27" s="396" t="s">
        <v>578</v>
      </c>
      <c r="C27" s="386" t="s">
        <v>897</v>
      </c>
      <c r="D27" s="388" t="s">
        <v>54</v>
      </c>
      <c r="E27" s="351" t="s">
        <v>53</v>
      </c>
      <c r="F27" s="388" t="s">
        <v>54</v>
      </c>
      <c r="G27" s="388" t="s">
        <v>54</v>
      </c>
      <c r="H27" s="351" t="s">
        <v>53</v>
      </c>
      <c r="I27" s="388" t="s">
        <v>54</v>
      </c>
      <c r="J27" s="388" t="s">
        <v>54</v>
      </c>
      <c r="K27" s="351" t="s">
        <v>53</v>
      </c>
      <c r="L27" s="388" t="s">
        <v>54</v>
      </c>
      <c r="M27" s="388" t="s">
        <v>54</v>
      </c>
      <c r="N27" s="367" t="s">
        <v>53</v>
      </c>
      <c r="O27" s="397" t="s">
        <v>54</v>
      </c>
      <c r="P27" s="387" t="s">
        <v>579</v>
      </c>
      <c r="Q27" s="479" t="s">
        <v>966</v>
      </c>
      <c r="R27" s="388">
        <v>2025</v>
      </c>
      <c r="S27" s="389"/>
      <c r="T27" s="186" t="s">
        <v>901</v>
      </c>
      <c r="U27" s="372"/>
      <c r="V27" s="357"/>
    </row>
    <row r="28" spans="1:35" ht="33.75">
      <c r="A28" s="480">
        <v>45811</v>
      </c>
      <c r="B28" s="398" t="s">
        <v>902</v>
      </c>
      <c r="C28" s="399" t="s">
        <v>64</v>
      </c>
      <c r="D28" s="394" t="s">
        <v>53</v>
      </c>
      <c r="E28" s="394" t="s">
        <v>53</v>
      </c>
      <c r="F28" s="394" t="s">
        <v>53</v>
      </c>
      <c r="G28" s="394" t="s">
        <v>53</v>
      </c>
      <c r="H28" s="394" t="s">
        <v>53</v>
      </c>
      <c r="I28" s="394" t="s">
        <v>53</v>
      </c>
      <c r="J28" s="394" t="s">
        <v>53</v>
      </c>
      <c r="K28" s="394" t="s">
        <v>53</v>
      </c>
      <c r="L28" s="394" t="s">
        <v>53</v>
      </c>
      <c r="M28" s="394" t="s">
        <v>53</v>
      </c>
      <c r="N28" s="394" t="s">
        <v>53</v>
      </c>
      <c r="O28" s="400" t="s">
        <v>53</v>
      </c>
      <c r="P28" s="401" t="s">
        <v>56</v>
      </c>
      <c r="Q28" s="483" t="s">
        <v>967</v>
      </c>
      <c r="R28" s="402" t="s">
        <v>882</v>
      </c>
      <c r="S28" s="403"/>
      <c r="T28" s="403"/>
      <c r="U28" s="372">
        <v>12</v>
      </c>
      <c r="V28" s="395" t="s">
        <v>899</v>
      </c>
    </row>
    <row r="29" spans="1:35" ht="34.5" thickBot="1">
      <c r="A29" s="480">
        <v>45811</v>
      </c>
      <c r="B29" s="359" t="s">
        <v>902</v>
      </c>
      <c r="C29" s="404" t="s">
        <v>64</v>
      </c>
      <c r="D29" s="364" t="s">
        <v>53</v>
      </c>
      <c r="E29" s="364" t="s">
        <v>53</v>
      </c>
      <c r="F29" s="364" t="s">
        <v>53</v>
      </c>
      <c r="G29" s="364" t="s">
        <v>53</v>
      </c>
      <c r="H29" s="364" t="s">
        <v>53</v>
      </c>
      <c r="I29" s="364" t="s">
        <v>53</v>
      </c>
      <c r="J29" s="364" t="s">
        <v>53</v>
      </c>
      <c r="K29" s="364" t="s">
        <v>53</v>
      </c>
      <c r="L29" s="364" t="s">
        <v>53</v>
      </c>
      <c r="M29" s="364" t="s">
        <v>53</v>
      </c>
      <c r="N29" s="364" t="s">
        <v>53</v>
      </c>
      <c r="O29" s="405" t="s">
        <v>53</v>
      </c>
      <c r="P29" s="363" t="s">
        <v>56</v>
      </c>
      <c r="Q29" s="479" t="s">
        <v>969</v>
      </c>
      <c r="R29" s="484" t="s">
        <v>882</v>
      </c>
      <c r="S29" s="366"/>
      <c r="T29" s="366"/>
      <c r="U29" s="372"/>
      <c r="W29" s="406"/>
      <c r="X29" s="406"/>
      <c r="Y29" s="406"/>
      <c r="Z29" s="406"/>
      <c r="AA29" s="406"/>
      <c r="AB29" s="406"/>
    </row>
    <row r="30" spans="1:35" ht="45.75" thickBot="1">
      <c r="A30" s="407"/>
      <c r="B30" s="408" t="s">
        <v>903</v>
      </c>
      <c r="C30" s="409" t="s">
        <v>62</v>
      </c>
      <c r="D30" s="409" t="s">
        <v>53</v>
      </c>
      <c r="E30" s="409" t="s">
        <v>53</v>
      </c>
      <c r="F30" s="409" t="s">
        <v>53</v>
      </c>
      <c r="G30" s="409" t="s">
        <v>53</v>
      </c>
      <c r="H30" s="409" t="s">
        <v>53</v>
      </c>
      <c r="I30" s="409" t="s">
        <v>53</v>
      </c>
      <c r="J30" s="409" t="s">
        <v>53</v>
      </c>
      <c r="K30" s="409" t="s">
        <v>53</v>
      </c>
      <c r="L30" s="409" t="s">
        <v>53</v>
      </c>
      <c r="M30" s="409" t="s">
        <v>53</v>
      </c>
      <c r="N30" s="409" t="s">
        <v>53</v>
      </c>
      <c r="O30" s="410" t="s">
        <v>53</v>
      </c>
      <c r="P30" s="411" t="s">
        <v>62</v>
      </c>
      <c r="Q30" s="409" t="s">
        <v>976</v>
      </c>
      <c r="R30" s="412">
        <v>2025</v>
      </c>
      <c r="S30" s="413"/>
      <c r="T30" s="414"/>
      <c r="U30" s="372">
        <v>18</v>
      </c>
      <c r="V30" s="395" t="s">
        <v>899</v>
      </c>
    </row>
    <row r="31" spans="1:35" ht="23.25" thickBot="1">
      <c r="A31" s="452"/>
      <c r="B31" s="408" t="s">
        <v>904</v>
      </c>
      <c r="C31" s="409" t="s">
        <v>905</v>
      </c>
      <c r="D31" s="409" t="s">
        <v>53</v>
      </c>
      <c r="E31" s="409" t="s">
        <v>53</v>
      </c>
      <c r="F31" s="409" t="s">
        <v>53</v>
      </c>
      <c r="G31" s="409" t="s">
        <v>53</v>
      </c>
      <c r="H31" s="409" t="s">
        <v>53</v>
      </c>
      <c r="I31" s="409" t="s">
        <v>53</v>
      </c>
      <c r="J31" s="409" t="s">
        <v>53</v>
      </c>
      <c r="K31" s="409" t="s">
        <v>53</v>
      </c>
      <c r="L31" s="409" t="s">
        <v>53</v>
      </c>
      <c r="M31" s="409" t="s">
        <v>53</v>
      </c>
      <c r="N31" s="409" t="s">
        <v>53</v>
      </c>
      <c r="O31" s="410" t="s">
        <v>53</v>
      </c>
      <c r="P31" s="411" t="s">
        <v>622</v>
      </c>
      <c r="Q31" s="453" t="s">
        <v>950</v>
      </c>
      <c r="R31" s="412" t="s">
        <v>882</v>
      </c>
      <c r="S31" s="413"/>
      <c r="T31" s="454"/>
      <c r="U31" s="372">
        <v>41</v>
      </c>
      <c r="V31" s="395" t="s">
        <v>899</v>
      </c>
    </row>
    <row r="32" spans="1:35" ht="22.5">
      <c r="A32" s="385"/>
      <c r="B32" s="184" t="s">
        <v>906</v>
      </c>
      <c r="C32" s="386" t="s">
        <v>881</v>
      </c>
      <c r="D32" s="367" t="s">
        <v>53</v>
      </c>
      <c r="E32" s="389"/>
      <c r="F32" s="367" t="s">
        <v>53</v>
      </c>
      <c r="G32" s="389"/>
      <c r="H32" s="367" t="s">
        <v>53</v>
      </c>
      <c r="I32" s="389"/>
      <c r="J32" s="367" t="s">
        <v>53</v>
      </c>
      <c r="K32" s="389"/>
      <c r="L32" s="367" t="s">
        <v>53</v>
      </c>
      <c r="M32" s="389"/>
      <c r="N32" s="367" t="s">
        <v>53</v>
      </c>
      <c r="O32" s="415"/>
      <c r="P32" s="387" t="s">
        <v>73</v>
      </c>
      <c r="Q32" s="467" t="s">
        <v>893</v>
      </c>
      <c r="R32" s="388" t="s">
        <v>882</v>
      </c>
      <c r="S32" s="389"/>
      <c r="T32" s="389"/>
      <c r="U32" s="372"/>
      <c r="W32" s="406"/>
      <c r="X32" s="406"/>
      <c r="Y32" s="406"/>
      <c r="Z32" s="406"/>
      <c r="AA32" s="406"/>
      <c r="AB32" s="406"/>
    </row>
    <row r="33" spans="1:28" s="468" customFormat="1" ht="45.75" thickBot="1">
      <c r="A33" s="480">
        <v>45811</v>
      </c>
      <c r="B33" s="486" t="s">
        <v>907</v>
      </c>
      <c r="C33" s="487" t="s">
        <v>881</v>
      </c>
      <c r="D33" s="488"/>
      <c r="E33" s="489" t="s">
        <v>53</v>
      </c>
      <c r="F33" s="488"/>
      <c r="G33" s="489" t="s">
        <v>53</v>
      </c>
      <c r="H33" s="488"/>
      <c r="I33" s="489" t="s">
        <v>53</v>
      </c>
      <c r="J33" s="488"/>
      <c r="K33" s="489" t="s">
        <v>53</v>
      </c>
      <c r="L33" s="488"/>
      <c r="M33" s="489" t="s">
        <v>53</v>
      </c>
      <c r="N33" s="488"/>
      <c r="O33" s="490" t="s">
        <v>53</v>
      </c>
      <c r="P33" s="491" t="s">
        <v>73</v>
      </c>
      <c r="Q33" s="492" t="s">
        <v>968</v>
      </c>
      <c r="R33" s="493" t="s">
        <v>908</v>
      </c>
      <c r="S33" s="485"/>
      <c r="T33" s="494" t="s">
        <v>970</v>
      </c>
      <c r="U33" s="372"/>
      <c r="W33" s="406"/>
      <c r="X33" s="406"/>
      <c r="Y33" s="406"/>
      <c r="Z33" s="406"/>
      <c r="AA33" s="406"/>
      <c r="AB33" s="406"/>
    </row>
    <row r="34" spans="1:28" ht="45.75" thickBot="1">
      <c r="A34" s="480">
        <v>45811</v>
      </c>
      <c r="B34" s="392" t="s">
        <v>907</v>
      </c>
      <c r="C34" s="380" t="s">
        <v>881</v>
      </c>
      <c r="D34" s="384"/>
      <c r="E34" s="361" t="s">
        <v>53</v>
      </c>
      <c r="F34" s="384"/>
      <c r="G34" s="361" t="s">
        <v>53</v>
      </c>
      <c r="H34" s="384"/>
      <c r="I34" s="361" t="s">
        <v>53</v>
      </c>
      <c r="J34" s="384"/>
      <c r="K34" s="361" t="s">
        <v>53</v>
      </c>
      <c r="L34" s="384"/>
      <c r="M34" s="361" t="s">
        <v>53</v>
      </c>
      <c r="N34" s="384"/>
      <c r="O34" s="381" t="s">
        <v>53</v>
      </c>
      <c r="P34" s="382" t="s">
        <v>73</v>
      </c>
      <c r="Q34" s="495" t="s">
        <v>971</v>
      </c>
      <c r="R34" s="416" t="s">
        <v>908</v>
      </c>
      <c r="S34" s="384"/>
      <c r="T34" s="384"/>
      <c r="U34" s="372">
        <v>1</v>
      </c>
      <c r="W34" s="406"/>
      <c r="X34" s="406"/>
      <c r="Y34" s="406"/>
      <c r="Z34" s="406"/>
      <c r="AA34" s="406"/>
      <c r="AB34" s="406"/>
    </row>
    <row r="35" spans="1:28">
      <c r="B35" s="417"/>
      <c r="C35" s="391"/>
      <c r="D35" s="391"/>
      <c r="E35" s="391"/>
      <c r="F35" s="391"/>
      <c r="G35" s="391"/>
      <c r="H35" s="391"/>
      <c r="I35" s="391"/>
      <c r="J35" s="391"/>
      <c r="K35" s="391"/>
      <c r="L35" s="391"/>
      <c r="M35" s="391"/>
      <c r="N35" s="391"/>
      <c r="O35" s="391"/>
      <c r="P35" s="391"/>
      <c r="Q35" s="418"/>
      <c r="R35" s="419"/>
      <c r="S35" s="391"/>
      <c r="T35" s="171"/>
      <c r="U35" s="327">
        <f>SUM(U2:U34)</f>
        <v>2611</v>
      </c>
      <c r="W35" s="420"/>
    </row>
    <row r="36" spans="1:28">
      <c r="B36" s="503" t="s">
        <v>581</v>
      </c>
      <c r="C36" s="503"/>
      <c r="D36" s="503"/>
      <c r="E36" s="503"/>
      <c r="F36" s="503"/>
      <c r="G36" s="503"/>
      <c r="H36" s="503"/>
      <c r="I36" s="503"/>
      <c r="J36" s="503"/>
      <c r="K36" s="503"/>
      <c r="L36" s="503"/>
      <c r="M36" s="503"/>
      <c r="N36" s="503"/>
      <c r="O36" s="503"/>
      <c r="P36" s="503"/>
      <c r="Q36" s="503"/>
      <c r="R36" s="503"/>
      <c r="S36" s="503"/>
      <c r="T36" s="503"/>
      <c r="U36" s="503"/>
    </row>
    <row r="37" spans="1:28">
      <c r="U37" s="327">
        <v>2645</v>
      </c>
    </row>
    <row r="38" spans="1:28">
      <c r="B38" s="375" t="s">
        <v>909</v>
      </c>
      <c r="C38" s="421"/>
      <c r="D38" s="116"/>
      <c r="E38" s="116"/>
      <c r="F38" s="116"/>
      <c r="G38" s="116"/>
      <c r="H38" s="116"/>
      <c r="I38" s="116"/>
      <c r="J38" s="116"/>
      <c r="K38" s="116"/>
      <c r="L38" s="116"/>
      <c r="M38" s="116"/>
      <c r="N38" s="116"/>
      <c r="O38" s="116"/>
      <c r="P38" s="116"/>
      <c r="Q38" s="116"/>
      <c r="R38" s="116"/>
      <c r="S38" s="116"/>
      <c r="T38" s="116"/>
      <c r="U38" s="116"/>
      <c r="V38" s="116"/>
    </row>
    <row r="39" spans="1:28">
      <c r="B39" s="375" t="s">
        <v>879</v>
      </c>
      <c r="C39" s="421"/>
      <c r="D39" s="116"/>
      <c r="E39" s="116"/>
      <c r="F39" s="116"/>
      <c r="G39" s="116"/>
      <c r="H39" s="116"/>
      <c r="I39" s="116"/>
      <c r="J39" s="116"/>
      <c r="K39" s="116"/>
      <c r="L39" s="116"/>
      <c r="M39" s="116"/>
      <c r="N39" s="116"/>
      <c r="O39" s="116"/>
      <c r="P39" s="116"/>
      <c r="Q39" s="116"/>
    </row>
    <row r="40" spans="1:28">
      <c r="B40" s="376" t="s">
        <v>910</v>
      </c>
    </row>
    <row r="41" spans="1:28">
      <c r="B41" s="376" t="s">
        <v>911</v>
      </c>
      <c r="C41" s="422"/>
      <c r="D41" s="212"/>
      <c r="E41" s="212"/>
      <c r="F41" s="212"/>
      <c r="G41" s="212"/>
      <c r="H41" s="212"/>
      <c r="I41" s="212"/>
      <c r="J41" s="212"/>
      <c r="K41" s="212"/>
      <c r="L41" s="212"/>
      <c r="M41" s="212"/>
      <c r="N41" s="212"/>
      <c r="O41" s="212"/>
      <c r="P41" s="212"/>
    </row>
    <row r="42" spans="1:28">
      <c r="B42" s="376" t="s">
        <v>912</v>
      </c>
      <c r="C42" s="423"/>
      <c r="D42" s="212"/>
      <c r="E42" s="212"/>
      <c r="F42" s="212"/>
      <c r="G42" s="212"/>
      <c r="H42" s="212"/>
      <c r="I42" s="213"/>
      <c r="J42" s="213"/>
      <c r="K42" s="213"/>
      <c r="L42" s="213"/>
      <c r="M42" s="213"/>
      <c r="N42" s="213"/>
      <c r="O42" s="213"/>
      <c r="P42" s="214"/>
    </row>
    <row r="43" spans="1:28">
      <c r="B43" s="376" t="s">
        <v>913</v>
      </c>
      <c r="C43" s="422"/>
      <c r="D43" s="213"/>
      <c r="E43" s="213" t="s">
        <v>2</v>
      </c>
      <c r="F43" s="213"/>
      <c r="G43" s="213"/>
      <c r="H43" s="213"/>
      <c r="I43" s="213"/>
      <c r="J43" s="213"/>
      <c r="K43" s="213"/>
      <c r="L43" s="213"/>
      <c r="M43" s="213"/>
      <c r="N43" s="213"/>
      <c r="O43" s="213"/>
      <c r="P43" s="214"/>
    </row>
    <row r="44" spans="1:28">
      <c r="B44" s="426" t="s">
        <v>914</v>
      </c>
      <c r="C44" s="424"/>
      <c r="D44" s="215"/>
      <c r="E44" s="215"/>
      <c r="F44" s="215"/>
      <c r="G44" s="215"/>
      <c r="H44" s="215"/>
      <c r="I44" s="215"/>
      <c r="J44" s="215"/>
      <c r="K44" s="215"/>
      <c r="L44" s="215"/>
      <c r="M44" s="215"/>
      <c r="N44" s="215"/>
      <c r="O44" s="215"/>
      <c r="P44" s="215"/>
    </row>
    <row r="45" spans="1:28">
      <c r="B45" s="426" t="s">
        <v>915</v>
      </c>
      <c r="C45" s="424"/>
      <c r="D45" s="215"/>
      <c r="E45" s="215"/>
      <c r="F45" s="215"/>
      <c r="G45" s="215"/>
      <c r="H45" s="215"/>
      <c r="I45" s="215"/>
      <c r="J45" s="215"/>
      <c r="K45" s="215"/>
      <c r="L45" s="215"/>
      <c r="M45" s="215"/>
      <c r="N45" s="215"/>
      <c r="O45" s="215"/>
      <c r="P45" s="215"/>
    </row>
    <row r="46" spans="1:28">
      <c r="B46" s="426" t="s">
        <v>916</v>
      </c>
      <c r="C46" s="424"/>
      <c r="D46" s="215"/>
      <c r="E46" s="215"/>
      <c r="F46" s="215"/>
      <c r="G46" s="215"/>
      <c r="H46" s="215"/>
      <c r="I46" s="215"/>
      <c r="J46" s="215"/>
      <c r="K46" s="215"/>
      <c r="L46" s="215"/>
      <c r="M46" s="215"/>
      <c r="N46" s="215"/>
      <c r="O46" s="215"/>
      <c r="P46" s="215"/>
    </row>
    <row r="47" spans="1:28">
      <c r="B47" s="426" t="s">
        <v>917</v>
      </c>
      <c r="C47" s="424"/>
      <c r="D47" s="215"/>
      <c r="E47" s="215"/>
      <c r="F47" s="215"/>
      <c r="G47" s="215"/>
      <c r="H47" s="215"/>
      <c r="I47" s="215"/>
      <c r="J47" s="215"/>
      <c r="K47" s="215"/>
      <c r="L47" s="215"/>
      <c r="M47" s="215"/>
      <c r="N47" s="215"/>
      <c r="O47" s="215"/>
      <c r="P47" s="215"/>
    </row>
    <row r="48" spans="1:28">
      <c r="B48" s="426" t="s">
        <v>918</v>
      </c>
      <c r="C48" s="424"/>
      <c r="D48" s="215"/>
      <c r="E48" s="215"/>
      <c r="F48" s="215"/>
      <c r="G48" s="215"/>
      <c r="H48" s="215"/>
      <c r="I48" s="215"/>
      <c r="J48" s="215"/>
      <c r="K48" s="215"/>
      <c r="L48" s="215"/>
      <c r="M48" s="215"/>
      <c r="N48" s="215"/>
      <c r="O48" s="215"/>
      <c r="P48" s="215"/>
    </row>
    <row r="49" spans="2:16">
      <c r="B49" s="215"/>
      <c r="C49" s="424"/>
      <c r="D49" s="215"/>
      <c r="E49" s="215"/>
      <c r="F49" s="215"/>
      <c r="G49" s="215"/>
      <c r="H49" s="215"/>
      <c r="I49" s="215"/>
      <c r="J49" s="215"/>
      <c r="K49" s="215"/>
      <c r="L49" s="215"/>
      <c r="M49" s="215"/>
      <c r="N49" s="215"/>
      <c r="O49" s="215"/>
      <c r="P49" s="215"/>
    </row>
    <row r="50" spans="2:16">
      <c r="B50" s="215"/>
      <c r="C50" s="424"/>
      <c r="D50" s="215"/>
      <c r="E50" s="215"/>
      <c r="F50" s="215"/>
      <c r="G50" s="215"/>
      <c r="H50" s="215"/>
      <c r="I50" s="215"/>
      <c r="J50" s="215"/>
      <c r="K50" s="215"/>
      <c r="L50" s="215"/>
      <c r="M50" s="215"/>
      <c r="N50" s="215"/>
      <c r="O50" s="215"/>
      <c r="P50" s="215"/>
    </row>
    <row r="51" spans="2:16">
      <c r="B51" s="212"/>
      <c r="C51" s="422"/>
      <c r="D51" s="212"/>
      <c r="E51" s="212"/>
      <c r="F51" s="212"/>
      <c r="G51" s="213"/>
      <c r="H51" s="213"/>
      <c r="I51" s="213"/>
      <c r="J51" s="213"/>
      <c r="K51" s="213"/>
      <c r="L51" s="213"/>
      <c r="M51" s="214"/>
      <c r="N51" s="214"/>
      <c r="O51" s="214"/>
      <c r="P51" s="214"/>
    </row>
    <row r="52" spans="2:16">
      <c r="B52" s="212"/>
      <c r="C52" s="422"/>
      <c r="D52" s="212"/>
      <c r="E52" s="212"/>
      <c r="F52" s="212"/>
      <c r="G52" s="213"/>
      <c r="H52" s="213"/>
      <c r="I52" s="213"/>
      <c r="J52" s="213"/>
      <c r="K52" s="213"/>
      <c r="L52" s="213"/>
      <c r="M52" s="214"/>
      <c r="N52" s="214"/>
      <c r="O52" s="214"/>
      <c r="P52" s="214"/>
    </row>
    <row r="53" spans="2:16">
      <c r="B53" s="213"/>
      <c r="C53" s="425"/>
      <c r="D53" s="213"/>
      <c r="E53" s="213"/>
      <c r="F53" s="213"/>
      <c r="G53" s="213"/>
      <c r="H53" s="213"/>
      <c r="I53" s="213"/>
      <c r="J53" s="213"/>
      <c r="K53" s="213"/>
      <c r="L53" s="213"/>
      <c r="M53" s="214"/>
      <c r="N53" s="214"/>
      <c r="O53" s="214"/>
      <c r="P53" s="214"/>
    </row>
  </sheetData>
  <mergeCells count="1">
    <mergeCell ref="B36:U36"/>
  </mergeCells>
  <hyperlinks>
    <hyperlink ref="U1" location="MAPPING!A1" display="Return to Mapping" xr:uid="{9B3FBC48-4276-4162-BE7F-DC791EC549FD}"/>
  </hyperlinks>
  <pageMargins left="0.7" right="0.7" top="0.75" bottom="0.75" header="0.3" footer="0.3"/>
  <pageSetup scale="44" orientation="portrait" r:id="rId1"/>
  <headerFooter>
    <oddHeader xml:space="preserve">&amp;LRefinitiv&amp;CDIST Reverse Mapping &amp;A&amp;RNew Installations - Conversions
</oddHeader>
    <oddFooter>&amp;LConfidential&amp;C&amp;D&amp;RPage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3D94F-6F89-4838-B762-8CAEB8B2663F}">
  <sheetPr>
    <pageSetUpPr fitToPage="1"/>
  </sheetPr>
  <dimension ref="A1:W217"/>
  <sheetViews>
    <sheetView zoomScaleNormal="100" workbookViewId="0">
      <pane xSplit="1" ySplit="1" topLeftCell="B2" activePane="bottomRight" state="frozen"/>
      <selection pane="topRight" activeCell="B1" sqref="B1"/>
      <selection pane="bottomLeft" activeCell="A2" sqref="A2"/>
      <selection pane="bottomRight" activeCell="N1" sqref="N1"/>
    </sheetView>
  </sheetViews>
  <sheetFormatPr defaultColWidth="9.140625" defaultRowHeight="12"/>
  <cols>
    <col min="1" max="1" width="3.85546875" style="3" customWidth="1"/>
    <col min="2" max="2" width="8" style="7" customWidth="1"/>
    <col min="3" max="3" width="7.7109375" style="7" customWidth="1"/>
    <col min="4" max="4" width="5.42578125" style="40" customWidth="1"/>
    <col min="5" max="5" width="9.42578125" style="40" customWidth="1"/>
    <col min="6" max="6" width="11.85546875" style="41" customWidth="1"/>
    <col min="7" max="7" width="27.42578125" style="7" customWidth="1"/>
    <col min="8" max="8" width="32.7109375" style="42" customWidth="1"/>
    <col min="9" max="9" width="23.7109375" style="6" customWidth="1"/>
    <col min="10" max="10" width="32.28515625" style="6" customWidth="1"/>
    <col min="11" max="11" width="19.140625" style="16" customWidth="1"/>
    <col min="12" max="12" width="10" style="16" customWidth="1"/>
    <col min="13" max="13" width="12.85546875" style="89" customWidth="1"/>
    <col min="14" max="14" width="26.28515625" style="89" customWidth="1"/>
    <col min="15" max="15" width="28.85546875" style="89" customWidth="1"/>
    <col min="16" max="16" width="26.28515625" style="89" customWidth="1"/>
    <col min="17" max="17" width="28.85546875" style="89" customWidth="1"/>
    <col min="18" max="19" width="32.28515625" style="89" customWidth="1"/>
    <col min="20" max="20" width="32.28515625" style="6" customWidth="1"/>
    <col min="21" max="21" width="32.5703125" style="6" customWidth="1"/>
    <col min="22" max="22" width="34.5703125" style="6" customWidth="1"/>
    <col min="23" max="23" width="34.5703125" style="164" customWidth="1"/>
    <col min="24" max="16384" width="9.140625" style="3"/>
  </cols>
  <sheetData>
    <row r="1" spans="1:23" s="64" customFormat="1" ht="79.5" customHeight="1">
      <c r="A1" s="61"/>
      <c r="B1" s="53" t="s">
        <v>113</v>
      </c>
      <c r="C1" s="53" t="s">
        <v>115</v>
      </c>
      <c r="D1" s="62" t="s">
        <v>116</v>
      </c>
      <c r="E1" s="53" t="s">
        <v>117</v>
      </c>
      <c r="F1" s="62" t="s">
        <v>118</v>
      </c>
      <c r="G1" s="53" t="s">
        <v>119</v>
      </c>
      <c r="H1" s="53" t="s">
        <v>120</v>
      </c>
      <c r="I1" s="65" t="s">
        <v>121</v>
      </c>
      <c r="J1" s="53" t="s">
        <v>122</v>
      </c>
      <c r="K1" s="53" t="s">
        <v>125</v>
      </c>
      <c r="L1" s="53" t="s">
        <v>126</v>
      </c>
      <c r="M1" s="53" t="s">
        <v>127</v>
      </c>
      <c r="N1" s="190" t="s">
        <v>853</v>
      </c>
      <c r="O1" s="190" t="s">
        <v>852</v>
      </c>
      <c r="P1" s="190" t="s">
        <v>851</v>
      </c>
      <c r="Q1" s="190" t="s">
        <v>850</v>
      </c>
      <c r="R1" s="190" t="s">
        <v>625</v>
      </c>
      <c r="S1" s="190" t="s">
        <v>626</v>
      </c>
      <c r="T1" s="190" t="s">
        <v>627</v>
      </c>
      <c r="U1" s="190" t="s">
        <v>628</v>
      </c>
      <c r="V1" s="148" t="s">
        <v>629</v>
      </c>
      <c r="W1" s="147" t="s">
        <v>630</v>
      </c>
    </row>
    <row r="2" spans="1:23" s="135" customFormat="1">
      <c r="A2" s="157">
        <v>1</v>
      </c>
      <c r="B2" s="131" t="s">
        <v>2</v>
      </c>
      <c r="C2" s="131"/>
      <c r="D2" s="130">
        <v>1</v>
      </c>
      <c r="E2" s="126" t="s">
        <v>136</v>
      </c>
      <c r="F2" s="132"/>
      <c r="G2" s="128" t="s">
        <v>137</v>
      </c>
      <c r="H2" s="128" t="s">
        <v>138</v>
      </c>
      <c r="I2" s="133"/>
      <c r="J2" s="128"/>
      <c r="K2" s="128"/>
      <c r="L2" s="127">
        <v>0</v>
      </c>
      <c r="M2" s="128"/>
      <c r="N2" s="129" t="s">
        <v>139</v>
      </c>
      <c r="O2" s="129" t="s">
        <v>139</v>
      </c>
      <c r="P2" s="326" t="s">
        <v>139</v>
      </c>
      <c r="Q2" s="326" t="s">
        <v>139</v>
      </c>
      <c r="R2" s="273" t="s">
        <v>139</v>
      </c>
      <c r="S2" s="274" t="s">
        <v>139</v>
      </c>
      <c r="T2" s="129" t="s">
        <v>139</v>
      </c>
      <c r="U2" s="129" t="s">
        <v>139</v>
      </c>
      <c r="V2" s="129"/>
      <c r="W2" s="128"/>
    </row>
    <row r="3" spans="1:23" s="135" customFormat="1">
      <c r="A3" s="157">
        <v>2</v>
      </c>
      <c r="B3" s="131"/>
      <c r="C3" s="131"/>
      <c r="D3" s="130">
        <v>51</v>
      </c>
      <c r="E3" s="127" t="s">
        <v>140</v>
      </c>
      <c r="F3" s="132"/>
      <c r="G3" s="128" t="s">
        <v>141</v>
      </c>
      <c r="H3" s="128" t="s">
        <v>138</v>
      </c>
      <c r="I3" s="133"/>
      <c r="J3" s="128"/>
      <c r="K3" s="128"/>
      <c r="L3" s="127">
        <v>0</v>
      </c>
      <c r="M3" s="128"/>
      <c r="N3" s="129" t="s">
        <v>139</v>
      </c>
      <c r="O3" s="129" t="s">
        <v>139</v>
      </c>
      <c r="P3" s="326" t="s">
        <v>139</v>
      </c>
      <c r="Q3" s="326" t="s">
        <v>139</v>
      </c>
      <c r="R3" s="273" t="s">
        <v>139</v>
      </c>
      <c r="S3" s="274" t="s">
        <v>139</v>
      </c>
      <c r="T3" s="129" t="s">
        <v>139</v>
      </c>
      <c r="U3" s="129" t="s">
        <v>139</v>
      </c>
      <c r="V3" s="129"/>
      <c r="W3" s="128"/>
    </row>
    <row r="4" spans="1:23" s="135" customFormat="1">
      <c r="A4" s="157">
        <v>3</v>
      </c>
      <c r="B4" s="131"/>
      <c r="C4" s="131"/>
      <c r="D4" s="130">
        <v>101</v>
      </c>
      <c r="E4" s="127" t="s">
        <v>140</v>
      </c>
      <c r="F4" s="132"/>
      <c r="G4" s="128" t="s">
        <v>142</v>
      </c>
      <c r="H4" s="128" t="s">
        <v>138</v>
      </c>
      <c r="I4" s="133"/>
      <c r="J4" s="128"/>
      <c r="K4" s="128"/>
      <c r="L4" s="127">
        <v>0</v>
      </c>
      <c r="M4" s="128"/>
      <c r="N4" s="129" t="s">
        <v>143</v>
      </c>
      <c r="O4" s="129" t="s">
        <v>143</v>
      </c>
      <c r="P4" s="326" t="s">
        <v>143</v>
      </c>
      <c r="Q4" s="326" t="s">
        <v>143</v>
      </c>
      <c r="R4" s="273" t="s">
        <v>143</v>
      </c>
      <c r="S4" s="274" t="s">
        <v>143</v>
      </c>
      <c r="T4" s="129" t="s">
        <v>143</v>
      </c>
      <c r="U4" s="129" t="s">
        <v>143</v>
      </c>
      <c r="V4" s="129"/>
      <c r="W4" s="128"/>
    </row>
    <row r="5" spans="1:23" s="135" customFormat="1">
      <c r="A5" s="157">
        <v>4</v>
      </c>
      <c r="B5" s="131"/>
      <c r="C5" s="131"/>
      <c r="D5" s="130">
        <v>201</v>
      </c>
      <c r="E5" s="127" t="s">
        <v>140</v>
      </c>
      <c r="F5" s="132"/>
      <c r="G5" s="128" t="s">
        <v>144</v>
      </c>
      <c r="H5" s="128" t="s">
        <v>138</v>
      </c>
      <c r="I5" s="133"/>
      <c r="J5" s="128"/>
      <c r="K5" s="128"/>
      <c r="L5" s="127">
        <v>0</v>
      </c>
      <c r="M5" s="128"/>
      <c r="N5" s="129" t="s">
        <v>143</v>
      </c>
      <c r="O5" s="129" t="s">
        <v>143</v>
      </c>
      <c r="P5" s="326" t="s">
        <v>143</v>
      </c>
      <c r="Q5" s="326" t="s">
        <v>143</v>
      </c>
      <c r="R5" s="273" t="s">
        <v>143</v>
      </c>
      <c r="S5" s="274" t="s">
        <v>143</v>
      </c>
      <c r="T5" s="129" t="s">
        <v>143</v>
      </c>
      <c r="U5" s="129" t="s">
        <v>143</v>
      </c>
      <c r="V5" s="129"/>
      <c r="W5" s="128"/>
    </row>
    <row r="6" spans="1:23" ht="24">
      <c r="A6" s="157">
        <v>5</v>
      </c>
      <c r="B6" s="38"/>
      <c r="C6" s="38"/>
      <c r="D6" s="32">
        <v>205</v>
      </c>
      <c r="E6" s="32" t="s">
        <v>145</v>
      </c>
      <c r="F6" s="81" t="s">
        <v>146</v>
      </c>
      <c r="G6" s="51" t="s">
        <v>147</v>
      </c>
      <c r="H6" s="51" t="s">
        <v>148</v>
      </c>
      <c r="I6" s="51"/>
      <c r="J6" s="90"/>
      <c r="K6" s="32" t="s">
        <v>52</v>
      </c>
      <c r="L6" s="32">
        <v>1</v>
      </c>
      <c r="M6" s="86" t="s">
        <v>150</v>
      </c>
      <c r="N6" s="120" t="s">
        <v>149</v>
      </c>
      <c r="O6" s="120" t="s">
        <v>149</v>
      </c>
      <c r="P6" s="208" t="s">
        <v>149</v>
      </c>
      <c r="Q6" s="208" t="s">
        <v>149</v>
      </c>
      <c r="R6" s="208" t="s">
        <v>149</v>
      </c>
      <c r="S6" s="275" t="s">
        <v>149</v>
      </c>
      <c r="T6" s="120" t="s">
        <v>149</v>
      </c>
      <c r="U6" s="120" t="s">
        <v>149</v>
      </c>
      <c r="V6" s="4" t="s">
        <v>631</v>
      </c>
      <c r="W6" s="4" t="s">
        <v>631</v>
      </c>
    </row>
    <row r="7" spans="1:23" ht="144">
      <c r="A7" s="157">
        <v>6</v>
      </c>
      <c r="B7" s="12"/>
      <c r="C7" s="12"/>
      <c r="D7" s="32">
        <v>214</v>
      </c>
      <c r="E7" s="32" t="s">
        <v>145</v>
      </c>
      <c r="F7" s="81" t="s">
        <v>153</v>
      </c>
      <c r="G7" s="51" t="s">
        <v>154</v>
      </c>
      <c r="H7" s="51" t="s">
        <v>155</v>
      </c>
      <c r="I7" s="51"/>
      <c r="J7" s="91" t="s">
        <v>156</v>
      </c>
      <c r="K7" s="32" t="s">
        <v>52</v>
      </c>
      <c r="L7" s="32">
        <v>1</v>
      </c>
      <c r="M7" s="86" t="s">
        <v>150</v>
      </c>
      <c r="N7" s="276" t="s">
        <v>632</v>
      </c>
      <c r="O7" s="277" t="s">
        <v>632</v>
      </c>
      <c r="P7" s="276" t="s">
        <v>632</v>
      </c>
      <c r="Q7" s="277" t="s">
        <v>632</v>
      </c>
      <c r="R7" s="276" t="s">
        <v>632</v>
      </c>
      <c r="S7" s="277" t="s">
        <v>632</v>
      </c>
      <c r="T7" s="91" t="s">
        <v>633</v>
      </c>
      <c r="U7" s="91" t="s">
        <v>633</v>
      </c>
      <c r="V7" s="150" t="s">
        <v>634</v>
      </c>
      <c r="W7" s="51" t="s">
        <v>634</v>
      </c>
    </row>
    <row r="8" spans="1:23" ht="24">
      <c r="A8" s="157">
        <v>7</v>
      </c>
      <c r="B8" s="102"/>
      <c r="C8" s="102"/>
      <c r="D8" s="103">
        <v>223</v>
      </c>
      <c r="E8" s="103" t="s">
        <v>145</v>
      </c>
      <c r="F8" s="104"/>
      <c r="G8" s="106" t="s">
        <v>158</v>
      </c>
      <c r="H8" s="106" t="s">
        <v>159</v>
      </c>
      <c r="I8" s="105"/>
      <c r="J8" s="106"/>
      <c r="K8" s="103" t="s">
        <v>161</v>
      </c>
      <c r="L8" s="103">
        <v>0</v>
      </c>
      <c r="M8" s="108"/>
      <c r="N8" s="85" t="s">
        <v>160</v>
      </c>
      <c r="O8" s="85" t="s">
        <v>160</v>
      </c>
      <c r="P8" s="314" t="s">
        <v>160</v>
      </c>
      <c r="Q8" s="314" t="s">
        <v>160</v>
      </c>
      <c r="R8" s="278" t="s">
        <v>160</v>
      </c>
      <c r="S8" s="279" t="s">
        <v>160</v>
      </c>
      <c r="T8" s="85" t="s">
        <v>635</v>
      </c>
      <c r="U8" s="85" t="s">
        <v>635</v>
      </c>
      <c r="V8" s="85" t="s">
        <v>635</v>
      </c>
      <c r="W8" s="85" t="s">
        <v>635</v>
      </c>
    </row>
    <row r="9" spans="1:23" ht="409.5">
      <c r="A9" s="157">
        <v>8</v>
      </c>
      <c r="B9" s="38"/>
      <c r="C9" s="38"/>
      <c r="D9" s="32">
        <v>232</v>
      </c>
      <c r="E9" s="32" t="s">
        <v>162</v>
      </c>
      <c r="F9" s="81" t="s">
        <v>163</v>
      </c>
      <c r="G9" s="51" t="s">
        <v>164</v>
      </c>
      <c r="H9" s="51" t="s">
        <v>165</v>
      </c>
      <c r="I9" s="51"/>
      <c r="J9" s="91" t="s">
        <v>636</v>
      </c>
      <c r="K9" s="32" t="s">
        <v>52</v>
      </c>
      <c r="L9" s="32">
        <v>1</v>
      </c>
      <c r="M9" s="86" t="s">
        <v>150</v>
      </c>
      <c r="N9" s="51" t="s">
        <v>168</v>
      </c>
      <c r="O9" s="51" t="s">
        <v>168</v>
      </c>
      <c r="P9" s="208" t="s">
        <v>168</v>
      </c>
      <c r="Q9" s="208" t="s">
        <v>168</v>
      </c>
      <c r="R9" s="280" t="s">
        <v>637</v>
      </c>
      <c r="S9" s="281" t="s">
        <v>637</v>
      </c>
      <c r="T9" s="168" t="s">
        <v>638</v>
      </c>
      <c r="U9" s="168" t="s">
        <v>638</v>
      </c>
      <c r="V9" s="120" t="s">
        <v>639</v>
      </c>
      <c r="W9" s="120" t="s">
        <v>640</v>
      </c>
    </row>
    <row r="10" spans="1:23" ht="120">
      <c r="A10" s="157">
        <v>9</v>
      </c>
      <c r="B10" s="102"/>
      <c r="C10" s="102"/>
      <c r="D10" s="92">
        <v>237</v>
      </c>
      <c r="E10" s="92" t="s">
        <v>170</v>
      </c>
      <c r="F10" s="104" t="s">
        <v>171</v>
      </c>
      <c r="G10" s="105" t="s">
        <v>172</v>
      </c>
      <c r="H10" s="105" t="s">
        <v>173</v>
      </c>
      <c r="I10" s="119"/>
      <c r="J10" s="109"/>
      <c r="K10" s="103" t="s">
        <v>58</v>
      </c>
      <c r="L10" s="103">
        <v>0</v>
      </c>
      <c r="M10" s="108"/>
      <c r="N10" s="85" t="s">
        <v>174</v>
      </c>
      <c r="O10" s="85" t="s">
        <v>174</v>
      </c>
      <c r="P10" s="314" t="s">
        <v>174</v>
      </c>
      <c r="Q10" s="314" t="s">
        <v>174</v>
      </c>
      <c r="R10" s="282" t="s">
        <v>174</v>
      </c>
      <c r="S10" s="283" t="s">
        <v>174</v>
      </c>
      <c r="T10" s="85" t="s">
        <v>641</v>
      </c>
      <c r="U10" s="85" t="s">
        <v>641</v>
      </c>
      <c r="V10" s="85" t="s">
        <v>642</v>
      </c>
      <c r="W10" s="85" t="s">
        <v>642</v>
      </c>
    </row>
    <row r="11" spans="1:23" ht="216">
      <c r="A11" s="157">
        <v>10</v>
      </c>
      <c r="B11" s="38"/>
      <c r="C11" s="38"/>
      <c r="D11" s="32">
        <v>239</v>
      </c>
      <c r="E11" s="32" t="s">
        <v>27</v>
      </c>
      <c r="F11" s="81" t="s">
        <v>175</v>
      </c>
      <c r="G11" s="51" t="s">
        <v>176</v>
      </c>
      <c r="H11" s="51" t="s">
        <v>177</v>
      </c>
      <c r="I11" s="51"/>
      <c r="J11" s="90"/>
      <c r="K11" s="32" t="s">
        <v>52</v>
      </c>
      <c r="L11" s="32">
        <v>1</v>
      </c>
      <c r="M11" s="86" t="s">
        <v>150</v>
      </c>
      <c r="N11" s="325" t="s">
        <v>849</v>
      </c>
      <c r="O11" s="325" t="s">
        <v>849</v>
      </c>
      <c r="P11" s="168" t="s">
        <v>179</v>
      </c>
      <c r="Q11" s="168" t="s">
        <v>179</v>
      </c>
      <c r="R11" s="284" t="s">
        <v>179</v>
      </c>
      <c r="S11" s="285" t="s">
        <v>179</v>
      </c>
      <c r="T11" s="168" t="s">
        <v>643</v>
      </c>
      <c r="U11" s="168" t="s">
        <v>643</v>
      </c>
      <c r="V11" s="120" t="s">
        <v>644</v>
      </c>
      <c r="W11" s="120" t="s">
        <v>644</v>
      </c>
    </row>
    <row r="12" spans="1:23" ht="120">
      <c r="A12" s="157">
        <v>11</v>
      </c>
      <c r="B12" s="12"/>
      <c r="C12" s="12"/>
      <c r="D12" s="32">
        <v>240</v>
      </c>
      <c r="E12" s="32" t="s">
        <v>145</v>
      </c>
      <c r="F12" s="81" t="s">
        <v>180</v>
      </c>
      <c r="G12" s="51" t="s">
        <v>181</v>
      </c>
      <c r="H12" s="51" t="s">
        <v>182</v>
      </c>
      <c r="I12" s="120"/>
      <c r="J12" s="91" t="s">
        <v>645</v>
      </c>
      <c r="K12" s="32" t="s">
        <v>52</v>
      </c>
      <c r="L12" s="32">
        <v>1</v>
      </c>
      <c r="M12" s="86" t="s">
        <v>150</v>
      </c>
      <c r="N12" s="168" t="s">
        <v>179</v>
      </c>
      <c r="O12" s="168" t="s">
        <v>179</v>
      </c>
      <c r="P12" s="168" t="s">
        <v>179</v>
      </c>
      <c r="Q12" s="168" t="s">
        <v>179</v>
      </c>
      <c r="R12" s="284" t="s">
        <v>179</v>
      </c>
      <c r="S12" s="285" t="s">
        <v>179</v>
      </c>
      <c r="T12" s="168" t="s">
        <v>646</v>
      </c>
      <c r="U12" s="168" t="s">
        <v>647</v>
      </c>
      <c r="V12" s="149" t="s">
        <v>644</v>
      </c>
      <c r="W12" s="149" t="s">
        <v>644</v>
      </c>
    </row>
    <row r="13" spans="1:23" ht="132">
      <c r="A13" s="157">
        <v>12</v>
      </c>
      <c r="B13" s="12"/>
      <c r="C13" s="12"/>
      <c r="D13" s="32">
        <v>249</v>
      </c>
      <c r="E13" s="32" t="s">
        <v>145</v>
      </c>
      <c r="F13" s="81" t="s">
        <v>648</v>
      </c>
      <c r="G13" s="51" t="s">
        <v>184</v>
      </c>
      <c r="H13" s="51" t="s">
        <v>185</v>
      </c>
      <c r="I13" s="51"/>
      <c r="J13" s="90"/>
      <c r="K13" s="32" t="s">
        <v>161</v>
      </c>
      <c r="L13" s="32">
        <v>0</v>
      </c>
      <c r="M13" s="86" t="s">
        <v>150</v>
      </c>
      <c r="N13" s="91" t="s">
        <v>187</v>
      </c>
      <c r="O13" s="91" t="s">
        <v>187</v>
      </c>
      <c r="P13" s="168" t="s">
        <v>649</v>
      </c>
      <c r="Q13" s="168" t="s">
        <v>649</v>
      </c>
      <c r="R13" s="284" t="s">
        <v>649</v>
      </c>
      <c r="S13" s="285" t="s">
        <v>649</v>
      </c>
      <c r="T13" s="91" t="s">
        <v>650</v>
      </c>
      <c r="U13" s="91" t="s">
        <v>650</v>
      </c>
      <c r="V13" s="91" t="s">
        <v>651</v>
      </c>
      <c r="W13" s="91" t="s">
        <v>652</v>
      </c>
    </row>
    <row r="14" spans="1:23" ht="24">
      <c r="A14" s="157">
        <v>13</v>
      </c>
      <c r="B14" s="12"/>
      <c r="C14" s="12"/>
      <c r="D14" s="32">
        <v>258</v>
      </c>
      <c r="E14" s="32" t="s">
        <v>188</v>
      </c>
      <c r="F14" s="81" t="s">
        <v>189</v>
      </c>
      <c r="G14" s="51" t="s">
        <v>190</v>
      </c>
      <c r="H14" s="51" t="s">
        <v>191</v>
      </c>
      <c r="I14" s="51"/>
      <c r="J14" s="90"/>
      <c r="K14" s="80" t="s">
        <v>2</v>
      </c>
      <c r="L14" s="32">
        <v>1</v>
      </c>
      <c r="M14" s="86" t="s">
        <v>81</v>
      </c>
      <c r="N14" s="51" t="s">
        <v>193</v>
      </c>
      <c r="O14" s="145" t="s">
        <v>160</v>
      </c>
      <c r="P14" s="208" t="s">
        <v>193</v>
      </c>
      <c r="Q14" s="317" t="s">
        <v>160</v>
      </c>
      <c r="R14" s="276" t="s">
        <v>193</v>
      </c>
      <c r="S14" s="283" t="s">
        <v>160</v>
      </c>
      <c r="T14" s="51" t="s">
        <v>653</v>
      </c>
      <c r="U14" s="145" t="s">
        <v>143</v>
      </c>
      <c r="V14" s="150" t="s">
        <v>654</v>
      </c>
      <c r="W14" s="158" t="s">
        <v>642</v>
      </c>
    </row>
    <row r="15" spans="1:23" ht="132">
      <c r="A15" s="157">
        <v>14</v>
      </c>
      <c r="B15" s="12"/>
      <c r="C15" s="12"/>
      <c r="D15" s="32">
        <v>273</v>
      </c>
      <c r="E15" s="32" t="s">
        <v>27</v>
      </c>
      <c r="F15" s="81" t="s">
        <v>194</v>
      </c>
      <c r="G15" s="51" t="s">
        <v>195</v>
      </c>
      <c r="H15" s="51" t="s">
        <v>196</v>
      </c>
      <c r="I15" s="51"/>
      <c r="J15" s="91" t="s">
        <v>655</v>
      </c>
      <c r="K15" s="32" t="s">
        <v>52</v>
      </c>
      <c r="L15" s="32">
        <v>1</v>
      </c>
      <c r="M15" s="86" t="s">
        <v>150</v>
      </c>
      <c r="N15" s="51" t="s">
        <v>199</v>
      </c>
      <c r="O15" s="51" t="s">
        <v>199</v>
      </c>
      <c r="P15" s="208" t="s">
        <v>199</v>
      </c>
      <c r="Q15" s="208" t="s">
        <v>199</v>
      </c>
      <c r="R15" s="276" t="s">
        <v>199</v>
      </c>
      <c r="S15" s="277" t="s">
        <v>199</v>
      </c>
      <c r="T15" s="51" t="s">
        <v>656</v>
      </c>
      <c r="U15" s="51" t="s">
        <v>656</v>
      </c>
      <c r="V15" s="150" t="s">
        <v>657</v>
      </c>
      <c r="W15" s="159" t="s">
        <v>657</v>
      </c>
    </row>
    <row r="16" spans="1:23" ht="108">
      <c r="A16" s="157">
        <v>15</v>
      </c>
      <c r="B16" s="12"/>
      <c r="C16" s="12"/>
      <c r="D16" s="32">
        <v>274</v>
      </c>
      <c r="E16" s="32" t="s">
        <v>201</v>
      </c>
      <c r="F16" s="81" t="s">
        <v>202</v>
      </c>
      <c r="G16" s="51" t="s">
        <v>203</v>
      </c>
      <c r="H16" s="51" t="s">
        <v>204</v>
      </c>
      <c r="I16" s="51"/>
      <c r="J16" s="91" t="s">
        <v>658</v>
      </c>
      <c r="K16" s="32" t="s">
        <v>161</v>
      </c>
      <c r="L16" s="32">
        <v>0</v>
      </c>
      <c r="M16" s="86" t="s">
        <v>150</v>
      </c>
      <c r="N16" s="51" t="s">
        <v>206</v>
      </c>
      <c r="O16" s="51" t="s">
        <v>207</v>
      </c>
      <c r="P16" s="208" t="s">
        <v>206</v>
      </c>
      <c r="Q16" s="208" t="s">
        <v>207</v>
      </c>
      <c r="R16" s="276" t="s">
        <v>206</v>
      </c>
      <c r="S16" s="277" t="s">
        <v>207</v>
      </c>
      <c r="T16" s="51" t="s">
        <v>659</v>
      </c>
      <c r="U16" s="51" t="s">
        <v>659</v>
      </c>
      <c r="V16" s="150" t="s">
        <v>660</v>
      </c>
      <c r="W16" s="51" t="s">
        <v>660</v>
      </c>
    </row>
    <row r="17" spans="1:23" ht="60">
      <c r="A17" s="157">
        <v>16</v>
      </c>
      <c r="B17" s="12"/>
      <c r="C17" s="12"/>
      <c r="D17" s="32">
        <v>281</v>
      </c>
      <c r="E17" s="32" t="s">
        <v>208</v>
      </c>
      <c r="F17" s="81" t="s">
        <v>209</v>
      </c>
      <c r="G17" s="51" t="s">
        <v>210</v>
      </c>
      <c r="H17" s="51" t="s">
        <v>211</v>
      </c>
      <c r="I17" s="51"/>
      <c r="J17" s="91" t="s">
        <v>661</v>
      </c>
      <c r="K17" s="32" t="s">
        <v>161</v>
      </c>
      <c r="L17" s="32">
        <v>0</v>
      </c>
      <c r="M17" s="86" t="s">
        <v>150</v>
      </c>
      <c r="N17" s="4" t="s">
        <v>214</v>
      </c>
      <c r="O17" s="4" t="s">
        <v>214</v>
      </c>
      <c r="P17" s="208" t="s">
        <v>214</v>
      </c>
      <c r="Q17" s="208" t="s">
        <v>214</v>
      </c>
      <c r="R17" s="276" t="s">
        <v>214</v>
      </c>
      <c r="S17" s="277" t="s">
        <v>214</v>
      </c>
      <c r="T17" s="4" t="s">
        <v>662</v>
      </c>
      <c r="U17" s="4" t="s">
        <v>662</v>
      </c>
      <c r="V17" s="150" t="s">
        <v>663</v>
      </c>
      <c r="W17" s="51" t="s">
        <v>663</v>
      </c>
    </row>
    <row r="18" spans="1:23" ht="96">
      <c r="A18" s="157">
        <v>17</v>
      </c>
      <c r="B18" s="102"/>
      <c r="C18" s="102"/>
      <c r="D18" s="103">
        <v>296</v>
      </c>
      <c r="E18" s="103" t="s">
        <v>215</v>
      </c>
      <c r="F18" s="104" t="s">
        <v>216</v>
      </c>
      <c r="G18" s="105" t="s">
        <v>217</v>
      </c>
      <c r="H18" s="105" t="s">
        <v>664</v>
      </c>
      <c r="I18" s="105"/>
      <c r="J18" s="106"/>
      <c r="K18" s="103" t="s">
        <v>161</v>
      </c>
      <c r="L18" s="103">
        <v>0</v>
      </c>
      <c r="M18" s="108"/>
      <c r="N18" s="85" t="s">
        <v>160</v>
      </c>
      <c r="O18" s="85" t="s">
        <v>160</v>
      </c>
      <c r="P18" s="314" t="s">
        <v>160</v>
      </c>
      <c r="Q18" s="314" t="s">
        <v>160</v>
      </c>
      <c r="R18" s="278" t="s">
        <v>160</v>
      </c>
      <c r="S18" s="279" t="s">
        <v>160</v>
      </c>
      <c r="T18" s="85" t="s">
        <v>143</v>
      </c>
      <c r="U18" s="85" t="s">
        <v>143</v>
      </c>
      <c r="V18" s="150" t="s">
        <v>642</v>
      </c>
      <c r="W18" s="159" t="s">
        <v>642</v>
      </c>
    </row>
    <row r="19" spans="1:23" ht="132">
      <c r="A19" s="157">
        <v>18</v>
      </c>
      <c r="B19" s="38"/>
      <c r="C19" s="38"/>
      <c r="D19" s="32">
        <v>299</v>
      </c>
      <c r="E19" s="32" t="s">
        <v>27</v>
      </c>
      <c r="F19" s="81" t="s">
        <v>219</v>
      </c>
      <c r="G19" s="51" t="s">
        <v>220</v>
      </c>
      <c r="H19" s="51" t="s">
        <v>221</v>
      </c>
      <c r="I19" s="121"/>
      <c r="J19" s="91" t="s">
        <v>655</v>
      </c>
      <c r="K19" s="32" t="s">
        <v>52</v>
      </c>
      <c r="L19" s="32">
        <v>1</v>
      </c>
      <c r="M19" s="86" t="s">
        <v>150</v>
      </c>
      <c r="N19" s="51" t="s">
        <v>223</v>
      </c>
      <c r="O19" s="51" t="s">
        <v>223</v>
      </c>
      <c r="P19" s="208" t="s">
        <v>223</v>
      </c>
      <c r="Q19" s="208" t="s">
        <v>223</v>
      </c>
      <c r="R19" s="276" t="s">
        <v>223</v>
      </c>
      <c r="S19" s="277" t="s">
        <v>223</v>
      </c>
      <c r="T19" s="51" t="s">
        <v>665</v>
      </c>
      <c r="U19" s="51" t="s">
        <v>665</v>
      </c>
      <c r="V19" s="150" t="s">
        <v>666</v>
      </c>
      <c r="W19" s="165" t="s">
        <v>666</v>
      </c>
    </row>
    <row r="20" spans="1:23" ht="118.5" customHeight="1">
      <c r="A20" s="157">
        <v>19</v>
      </c>
      <c r="B20" s="38"/>
      <c r="C20" s="38"/>
      <c r="D20" s="32">
        <v>300</v>
      </c>
      <c r="E20" s="32" t="s">
        <v>201</v>
      </c>
      <c r="F20" s="81" t="s">
        <v>224</v>
      </c>
      <c r="G20" s="51" t="s">
        <v>225</v>
      </c>
      <c r="H20" s="51" t="s">
        <v>667</v>
      </c>
      <c r="I20" s="121"/>
      <c r="J20" s="91" t="s">
        <v>668</v>
      </c>
      <c r="K20" s="32" t="s">
        <v>161</v>
      </c>
      <c r="L20" s="32">
        <v>0</v>
      </c>
      <c r="M20" s="86" t="s">
        <v>150</v>
      </c>
      <c r="N20" s="51" t="s">
        <v>229</v>
      </c>
      <c r="O20" s="51" t="s">
        <v>229</v>
      </c>
      <c r="P20" s="208" t="s">
        <v>669</v>
      </c>
      <c r="Q20" s="208" t="s">
        <v>669</v>
      </c>
      <c r="R20" s="276" t="s">
        <v>669</v>
      </c>
      <c r="S20" s="277" t="s">
        <v>669</v>
      </c>
      <c r="T20" s="51" t="s">
        <v>670</v>
      </c>
      <c r="U20" s="51" t="s">
        <v>670</v>
      </c>
      <c r="V20" s="150" t="s">
        <v>671</v>
      </c>
      <c r="W20" s="159" t="s">
        <v>671</v>
      </c>
    </row>
    <row r="21" spans="1:23" ht="48">
      <c r="A21" s="157">
        <v>20</v>
      </c>
      <c r="B21" s="38"/>
      <c r="C21" s="38"/>
      <c r="D21" s="32">
        <v>307</v>
      </c>
      <c r="E21" s="32" t="s">
        <v>208</v>
      </c>
      <c r="F21" s="81" t="s">
        <v>230</v>
      </c>
      <c r="G21" s="51" t="s">
        <v>231</v>
      </c>
      <c r="H21" s="51" t="s">
        <v>232</v>
      </c>
      <c r="I21" s="51"/>
      <c r="J21" s="91" t="s">
        <v>668</v>
      </c>
      <c r="K21" s="32" t="s">
        <v>161</v>
      </c>
      <c r="L21" s="32">
        <v>0</v>
      </c>
      <c r="M21" s="86" t="s">
        <v>150</v>
      </c>
      <c r="N21" s="4" t="s">
        <v>160</v>
      </c>
      <c r="O21" s="4" t="s">
        <v>160</v>
      </c>
      <c r="P21" s="208" t="s">
        <v>160</v>
      </c>
      <c r="Q21" s="208" t="s">
        <v>160</v>
      </c>
      <c r="R21" s="276" t="s">
        <v>160</v>
      </c>
      <c r="S21" s="277" t="s">
        <v>160</v>
      </c>
      <c r="T21" s="4" t="s">
        <v>143</v>
      </c>
      <c r="U21" s="4" t="s">
        <v>143</v>
      </c>
      <c r="V21" s="150" t="s">
        <v>642</v>
      </c>
      <c r="W21" s="159" t="s">
        <v>642</v>
      </c>
    </row>
    <row r="22" spans="1:23" ht="120">
      <c r="A22" s="157">
        <v>21</v>
      </c>
      <c r="B22" s="101"/>
      <c r="C22" s="101"/>
      <c r="D22" s="103">
        <v>322</v>
      </c>
      <c r="E22" s="103">
        <v>9</v>
      </c>
      <c r="F22" s="93" t="s">
        <v>233</v>
      </c>
      <c r="G22" s="105" t="s">
        <v>234</v>
      </c>
      <c r="H22" s="105" t="s">
        <v>672</v>
      </c>
      <c r="I22" s="99"/>
      <c r="J22" s="94"/>
      <c r="K22" s="103" t="s">
        <v>58</v>
      </c>
      <c r="L22" s="103">
        <v>0</v>
      </c>
      <c r="M22" s="98"/>
      <c r="N22" s="112" t="s">
        <v>174</v>
      </c>
      <c r="O22" s="95" t="s">
        <v>174</v>
      </c>
      <c r="P22" s="315" t="s">
        <v>174</v>
      </c>
      <c r="Q22" s="315" t="s">
        <v>174</v>
      </c>
      <c r="R22" s="286" t="s">
        <v>174</v>
      </c>
      <c r="S22" s="287" t="s">
        <v>174</v>
      </c>
      <c r="T22" s="112" t="s">
        <v>641</v>
      </c>
      <c r="U22" s="95" t="s">
        <v>641</v>
      </c>
      <c r="V22" s="99" t="s">
        <v>673</v>
      </c>
      <c r="W22" s="99" t="s">
        <v>673</v>
      </c>
    </row>
    <row r="23" spans="1:23" ht="186.75" customHeight="1">
      <c r="A23" s="157">
        <v>22</v>
      </c>
      <c r="B23" s="75"/>
      <c r="C23" s="75"/>
      <c r="D23" s="32">
        <v>323</v>
      </c>
      <c r="E23" s="32" t="s">
        <v>236</v>
      </c>
      <c r="F23" s="71" t="s">
        <v>237</v>
      </c>
      <c r="G23" s="51" t="s">
        <v>238</v>
      </c>
      <c r="H23" s="51" t="s">
        <v>239</v>
      </c>
      <c r="I23" s="76"/>
      <c r="J23" s="70"/>
      <c r="K23" s="32" t="s">
        <v>161</v>
      </c>
      <c r="L23" s="32">
        <v>0</v>
      </c>
      <c r="M23" s="87" t="s">
        <v>150</v>
      </c>
      <c r="N23" s="14" t="s">
        <v>241</v>
      </c>
      <c r="O23" s="14" t="s">
        <v>242</v>
      </c>
      <c r="P23" s="208" t="s">
        <v>674</v>
      </c>
      <c r="Q23" s="208" t="s">
        <v>160</v>
      </c>
      <c r="R23" s="276" t="s">
        <v>674</v>
      </c>
      <c r="S23" s="277" t="s">
        <v>160</v>
      </c>
      <c r="T23" s="14" t="s">
        <v>675</v>
      </c>
      <c r="U23" s="14" t="s">
        <v>242</v>
      </c>
      <c r="V23" s="150" t="s">
        <v>676</v>
      </c>
      <c r="W23" s="159" t="s">
        <v>642</v>
      </c>
    </row>
    <row r="24" spans="1:23" ht="168">
      <c r="A24" s="157">
        <v>23</v>
      </c>
      <c r="B24" s="70"/>
      <c r="C24" s="70"/>
      <c r="D24" s="32">
        <v>353</v>
      </c>
      <c r="E24" s="32" t="s">
        <v>236</v>
      </c>
      <c r="F24" s="71" t="s">
        <v>237</v>
      </c>
      <c r="G24" s="51" t="s">
        <v>243</v>
      </c>
      <c r="H24" s="51" t="s">
        <v>239</v>
      </c>
      <c r="I24" s="73"/>
      <c r="J24" s="70"/>
      <c r="K24" s="32" t="s">
        <v>161</v>
      </c>
      <c r="L24" s="32">
        <v>0</v>
      </c>
      <c r="M24" s="87" t="s">
        <v>150</v>
      </c>
      <c r="N24" s="14" t="s">
        <v>245</v>
      </c>
      <c r="O24" s="14" t="s">
        <v>242</v>
      </c>
      <c r="P24" s="208" t="s">
        <v>677</v>
      </c>
      <c r="Q24" s="208" t="s">
        <v>160</v>
      </c>
      <c r="R24" s="276" t="s">
        <v>677</v>
      </c>
      <c r="S24" s="277" t="s">
        <v>160</v>
      </c>
      <c r="T24" s="14" t="s">
        <v>678</v>
      </c>
      <c r="U24" s="14" t="s">
        <v>242</v>
      </c>
      <c r="V24" s="150" t="s">
        <v>679</v>
      </c>
      <c r="W24" s="159" t="s">
        <v>642</v>
      </c>
    </row>
    <row r="25" spans="1:23" ht="168">
      <c r="A25" s="157">
        <v>24</v>
      </c>
      <c r="B25" s="70"/>
      <c r="C25" s="70"/>
      <c r="D25" s="32">
        <v>383</v>
      </c>
      <c r="E25" s="32" t="s">
        <v>236</v>
      </c>
      <c r="F25" s="71" t="s">
        <v>237</v>
      </c>
      <c r="G25" s="51" t="s">
        <v>247</v>
      </c>
      <c r="H25" s="51" t="s">
        <v>239</v>
      </c>
      <c r="I25" s="73"/>
      <c r="J25" s="70"/>
      <c r="K25" s="32" t="s">
        <v>161</v>
      </c>
      <c r="L25" s="32">
        <v>0</v>
      </c>
      <c r="M25" s="87" t="s">
        <v>150</v>
      </c>
      <c r="N25" s="14" t="s">
        <v>249</v>
      </c>
      <c r="O25" s="14" t="s">
        <v>242</v>
      </c>
      <c r="P25" s="208" t="s">
        <v>680</v>
      </c>
      <c r="Q25" s="208" t="s">
        <v>160</v>
      </c>
      <c r="R25" s="276" t="s">
        <v>680</v>
      </c>
      <c r="S25" s="277" t="s">
        <v>160</v>
      </c>
      <c r="T25" s="14" t="s">
        <v>681</v>
      </c>
      <c r="U25" s="14" t="s">
        <v>242</v>
      </c>
      <c r="V25" s="150" t="s">
        <v>682</v>
      </c>
      <c r="W25" s="159" t="s">
        <v>642</v>
      </c>
    </row>
    <row r="26" spans="1:23" ht="168">
      <c r="A26" s="157">
        <v>25</v>
      </c>
      <c r="B26" s="70"/>
      <c r="C26" s="70"/>
      <c r="D26" s="32">
        <v>413</v>
      </c>
      <c r="E26" s="32" t="s">
        <v>236</v>
      </c>
      <c r="F26" s="71" t="s">
        <v>237</v>
      </c>
      <c r="G26" s="51" t="s">
        <v>250</v>
      </c>
      <c r="H26" s="51" t="s">
        <v>239</v>
      </c>
      <c r="I26" s="73" t="s">
        <v>683</v>
      </c>
      <c r="J26" s="70"/>
      <c r="K26" s="32" t="s">
        <v>161</v>
      </c>
      <c r="L26" s="32">
        <v>0</v>
      </c>
      <c r="M26" s="87" t="s">
        <v>150</v>
      </c>
      <c r="N26" s="14" t="s">
        <v>252</v>
      </c>
      <c r="O26" s="14" t="s">
        <v>242</v>
      </c>
      <c r="P26" s="208" t="s">
        <v>684</v>
      </c>
      <c r="Q26" s="208" t="s">
        <v>160</v>
      </c>
      <c r="R26" s="276" t="s">
        <v>684</v>
      </c>
      <c r="S26" s="277" t="s">
        <v>160</v>
      </c>
      <c r="T26" s="14" t="s">
        <v>685</v>
      </c>
      <c r="U26" s="14" t="s">
        <v>242</v>
      </c>
      <c r="V26" s="150" t="s">
        <v>686</v>
      </c>
      <c r="W26" s="159" t="s">
        <v>642</v>
      </c>
    </row>
    <row r="27" spans="1:23" ht="210" customHeight="1">
      <c r="A27" s="157">
        <v>26</v>
      </c>
      <c r="B27" s="70"/>
      <c r="C27" s="70"/>
      <c r="D27" s="32">
        <v>443</v>
      </c>
      <c r="E27" s="32" t="s">
        <v>236</v>
      </c>
      <c r="F27" s="71" t="s">
        <v>237</v>
      </c>
      <c r="G27" s="51" t="s">
        <v>253</v>
      </c>
      <c r="H27" s="51" t="s">
        <v>239</v>
      </c>
      <c r="I27" s="73" t="s">
        <v>687</v>
      </c>
      <c r="J27" s="70"/>
      <c r="K27" s="32" t="s">
        <v>161</v>
      </c>
      <c r="L27" s="32">
        <v>0</v>
      </c>
      <c r="M27" s="87" t="s">
        <v>150</v>
      </c>
      <c r="N27" s="14" t="s">
        <v>255</v>
      </c>
      <c r="O27" s="14" t="s">
        <v>242</v>
      </c>
      <c r="P27" s="208" t="s">
        <v>688</v>
      </c>
      <c r="Q27" s="208" t="s">
        <v>160</v>
      </c>
      <c r="R27" s="276" t="s">
        <v>688</v>
      </c>
      <c r="S27" s="277" t="s">
        <v>160</v>
      </c>
      <c r="T27" s="14" t="s">
        <v>689</v>
      </c>
      <c r="U27" s="14" t="s">
        <v>242</v>
      </c>
      <c r="V27" s="150" t="s">
        <v>690</v>
      </c>
      <c r="W27" s="159" t="s">
        <v>642</v>
      </c>
    </row>
    <row r="28" spans="1:23" ht="168">
      <c r="A28" s="157">
        <v>27</v>
      </c>
      <c r="B28" s="70"/>
      <c r="C28" s="70"/>
      <c r="D28" s="32">
        <v>473</v>
      </c>
      <c r="E28" s="32" t="s">
        <v>236</v>
      </c>
      <c r="F28" s="71" t="s">
        <v>237</v>
      </c>
      <c r="G28" s="51" t="s">
        <v>257</v>
      </c>
      <c r="H28" s="51" t="s">
        <v>239</v>
      </c>
      <c r="I28" s="73" t="s">
        <v>691</v>
      </c>
      <c r="J28" s="70"/>
      <c r="K28" s="32" t="s">
        <v>161</v>
      </c>
      <c r="L28" s="32">
        <v>0</v>
      </c>
      <c r="M28" s="87" t="s">
        <v>150</v>
      </c>
      <c r="N28" s="14" t="s">
        <v>259</v>
      </c>
      <c r="O28" s="14" t="s">
        <v>242</v>
      </c>
      <c r="P28" s="208" t="s">
        <v>692</v>
      </c>
      <c r="Q28" s="208" t="s">
        <v>160</v>
      </c>
      <c r="R28" s="276" t="s">
        <v>692</v>
      </c>
      <c r="S28" s="277" t="s">
        <v>160</v>
      </c>
      <c r="T28" s="14" t="s">
        <v>693</v>
      </c>
      <c r="U28" s="14" t="s">
        <v>242</v>
      </c>
      <c r="V28" s="150" t="s">
        <v>694</v>
      </c>
      <c r="W28" s="159" t="s">
        <v>642</v>
      </c>
    </row>
    <row r="29" spans="1:23" ht="264" customHeight="1">
      <c r="A29" s="157">
        <v>28</v>
      </c>
      <c r="B29" s="75"/>
      <c r="C29" s="75"/>
      <c r="D29" s="32">
        <v>503</v>
      </c>
      <c r="E29" s="32" t="s">
        <v>260</v>
      </c>
      <c r="F29" s="71" t="s">
        <v>261</v>
      </c>
      <c r="G29" s="51" t="s">
        <v>262</v>
      </c>
      <c r="H29" s="51" t="s">
        <v>695</v>
      </c>
      <c r="I29" s="73"/>
      <c r="J29" s="14" t="s">
        <v>696</v>
      </c>
      <c r="K29" s="32" t="s">
        <v>52</v>
      </c>
      <c r="L29" s="32">
        <v>1</v>
      </c>
      <c r="M29" s="87" t="s">
        <v>150</v>
      </c>
      <c r="N29" s="284" t="s">
        <v>697</v>
      </c>
      <c r="O29" s="285" t="s">
        <v>698</v>
      </c>
      <c r="P29" s="284" t="s">
        <v>697</v>
      </c>
      <c r="Q29" s="285" t="s">
        <v>698</v>
      </c>
      <c r="R29" s="284" t="s">
        <v>697</v>
      </c>
      <c r="S29" s="285" t="s">
        <v>698</v>
      </c>
      <c r="T29" s="5" t="s">
        <v>699</v>
      </c>
      <c r="U29" s="5" t="s">
        <v>698</v>
      </c>
      <c r="V29" s="150" t="s">
        <v>700</v>
      </c>
      <c r="W29" s="159" t="s">
        <v>701</v>
      </c>
    </row>
    <row r="30" spans="1:23" ht="47.25" customHeight="1">
      <c r="A30" s="157">
        <v>29</v>
      </c>
      <c r="B30" s="75"/>
      <c r="C30" s="75"/>
      <c r="D30" s="32">
        <v>527</v>
      </c>
      <c r="E30" s="32" t="s">
        <v>268</v>
      </c>
      <c r="F30" s="71" t="s">
        <v>269</v>
      </c>
      <c r="G30" s="51" t="s">
        <v>270</v>
      </c>
      <c r="H30" s="51" t="s">
        <v>271</v>
      </c>
      <c r="I30" s="74"/>
      <c r="J30" s="72"/>
      <c r="K30" s="32" t="s">
        <v>161</v>
      </c>
      <c r="L30" s="32">
        <v>0</v>
      </c>
      <c r="M30" s="88" t="s">
        <v>150</v>
      </c>
      <c r="N30" s="74" t="s">
        <v>272</v>
      </c>
      <c r="O30" s="74" t="s">
        <v>160</v>
      </c>
      <c r="P30" s="208" t="s">
        <v>272</v>
      </c>
      <c r="Q30" s="208" t="s">
        <v>160</v>
      </c>
      <c r="R30" s="276" t="s">
        <v>272</v>
      </c>
      <c r="S30" s="277" t="s">
        <v>160</v>
      </c>
      <c r="T30" s="74" t="s">
        <v>635</v>
      </c>
      <c r="U30" s="74" t="s">
        <v>635</v>
      </c>
      <c r="V30" s="150" t="s">
        <v>642</v>
      </c>
      <c r="W30" s="159" t="s">
        <v>642</v>
      </c>
    </row>
    <row r="31" spans="1:23" ht="26.25" customHeight="1">
      <c r="A31" s="157">
        <v>30</v>
      </c>
      <c r="B31" s="70"/>
      <c r="C31" s="70"/>
      <c r="D31" s="32">
        <v>607</v>
      </c>
      <c r="E31" s="32" t="s">
        <v>273</v>
      </c>
      <c r="F31" s="71"/>
      <c r="G31" s="51" t="s">
        <v>274</v>
      </c>
      <c r="H31" s="51" t="s">
        <v>275</v>
      </c>
      <c r="I31" s="74"/>
      <c r="J31" s="72"/>
      <c r="K31" s="123" t="s">
        <v>52</v>
      </c>
      <c r="L31" s="32">
        <v>0</v>
      </c>
      <c r="M31" s="88" t="s">
        <v>150</v>
      </c>
      <c r="N31" s="5" t="s">
        <v>276</v>
      </c>
      <c r="O31" s="5" t="s">
        <v>276</v>
      </c>
      <c r="P31" s="168" t="s">
        <v>276</v>
      </c>
      <c r="Q31" s="168" t="s">
        <v>276</v>
      </c>
      <c r="R31" s="284" t="s">
        <v>276</v>
      </c>
      <c r="S31" s="285" t="s">
        <v>276</v>
      </c>
      <c r="T31" s="5" t="s">
        <v>702</v>
      </c>
      <c r="U31" s="5" t="s">
        <v>702</v>
      </c>
      <c r="V31" s="150" t="s">
        <v>703</v>
      </c>
      <c r="W31" s="159" t="s">
        <v>703</v>
      </c>
    </row>
    <row r="32" spans="1:23" ht="36.75" customHeight="1">
      <c r="A32" s="157">
        <v>31</v>
      </c>
      <c r="B32" s="70"/>
      <c r="C32" s="70"/>
      <c r="D32" s="32">
        <v>616</v>
      </c>
      <c r="E32" s="32" t="s">
        <v>277</v>
      </c>
      <c r="F32" s="71" t="s">
        <v>278</v>
      </c>
      <c r="G32" s="51" t="s">
        <v>279</v>
      </c>
      <c r="H32" s="51" t="s">
        <v>280</v>
      </c>
      <c r="I32" s="74"/>
      <c r="J32" s="72"/>
      <c r="K32" s="32" t="s">
        <v>52</v>
      </c>
      <c r="L32" s="32">
        <v>0</v>
      </c>
      <c r="M32" s="88" t="s">
        <v>150</v>
      </c>
      <c r="N32" s="5" t="s">
        <v>276</v>
      </c>
      <c r="O32" s="5" t="s">
        <v>276</v>
      </c>
      <c r="P32" s="168" t="s">
        <v>276</v>
      </c>
      <c r="Q32" s="168" t="s">
        <v>276</v>
      </c>
      <c r="R32" s="284" t="s">
        <v>276</v>
      </c>
      <c r="S32" s="285" t="s">
        <v>276</v>
      </c>
      <c r="T32" s="5" t="s">
        <v>702</v>
      </c>
      <c r="U32" s="5" t="s">
        <v>702</v>
      </c>
      <c r="V32" s="150" t="s">
        <v>703</v>
      </c>
      <c r="W32" s="159" t="s">
        <v>703</v>
      </c>
    </row>
    <row r="33" spans="1:23" ht="38.25" customHeight="1">
      <c r="A33" s="157">
        <v>32</v>
      </c>
      <c r="B33" s="70"/>
      <c r="C33" s="70"/>
      <c r="D33" s="32">
        <v>625</v>
      </c>
      <c r="E33" s="32" t="s">
        <v>281</v>
      </c>
      <c r="F33" s="71" t="s">
        <v>282</v>
      </c>
      <c r="G33" s="51" t="s">
        <v>283</v>
      </c>
      <c r="H33" s="51" t="s">
        <v>284</v>
      </c>
      <c r="I33" s="74"/>
      <c r="J33" s="72"/>
      <c r="K33" s="32" t="s">
        <v>52</v>
      </c>
      <c r="L33" s="32">
        <v>0</v>
      </c>
      <c r="M33" s="88" t="s">
        <v>150</v>
      </c>
      <c r="N33" s="5" t="s">
        <v>285</v>
      </c>
      <c r="O33" s="5" t="s">
        <v>285</v>
      </c>
      <c r="P33" s="168" t="s">
        <v>285</v>
      </c>
      <c r="Q33" s="168" t="s">
        <v>285</v>
      </c>
      <c r="R33" s="284" t="s">
        <v>285</v>
      </c>
      <c r="S33" s="285" t="s">
        <v>285</v>
      </c>
      <c r="T33" s="5" t="s">
        <v>704</v>
      </c>
      <c r="U33" s="5" t="s">
        <v>704</v>
      </c>
      <c r="V33" s="150" t="s">
        <v>705</v>
      </c>
      <c r="W33" s="159" t="s">
        <v>705</v>
      </c>
    </row>
    <row r="34" spans="1:23" ht="36.75" customHeight="1">
      <c r="A34" s="157">
        <v>33</v>
      </c>
      <c r="B34" s="70"/>
      <c r="C34" s="70"/>
      <c r="D34" s="32">
        <v>628</v>
      </c>
      <c r="E34" s="32" t="s">
        <v>286</v>
      </c>
      <c r="F34" s="71" t="s">
        <v>287</v>
      </c>
      <c r="G34" s="51" t="s">
        <v>288</v>
      </c>
      <c r="H34" s="51" t="s">
        <v>289</v>
      </c>
      <c r="I34" s="74"/>
      <c r="J34" s="72"/>
      <c r="K34" s="32" t="s">
        <v>52</v>
      </c>
      <c r="L34" s="32">
        <v>0</v>
      </c>
      <c r="M34" s="88" t="s">
        <v>150</v>
      </c>
      <c r="N34" s="5" t="s">
        <v>290</v>
      </c>
      <c r="O34" s="5" t="s">
        <v>290</v>
      </c>
      <c r="P34" s="168" t="s">
        <v>290</v>
      </c>
      <c r="Q34" s="168" t="s">
        <v>290</v>
      </c>
      <c r="R34" s="284" t="s">
        <v>290</v>
      </c>
      <c r="S34" s="285" t="s">
        <v>290</v>
      </c>
      <c r="T34" s="5" t="s">
        <v>706</v>
      </c>
      <c r="U34" s="5" t="s">
        <v>706</v>
      </c>
      <c r="V34" s="150" t="s">
        <v>707</v>
      </c>
      <c r="W34" s="159" t="s">
        <v>707</v>
      </c>
    </row>
    <row r="35" spans="1:23" ht="144">
      <c r="A35" s="157">
        <v>34</v>
      </c>
      <c r="B35" s="75"/>
      <c r="C35" s="75"/>
      <c r="D35" s="32">
        <v>632</v>
      </c>
      <c r="E35" s="32" t="s">
        <v>291</v>
      </c>
      <c r="F35" s="71" t="s">
        <v>292</v>
      </c>
      <c r="G35" s="51" t="s">
        <v>293</v>
      </c>
      <c r="H35" s="51" t="s">
        <v>294</v>
      </c>
      <c r="I35" s="74"/>
      <c r="J35" s="5" t="s">
        <v>295</v>
      </c>
      <c r="K35" s="32" t="s">
        <v>161</v>
      </c>
      <c r="L35" s="32">
        <v>0</v>
      </c>
      <c r="M35" s="88" t="s">
        <v>296</v>
      </c>
      <c r="N35" s="154" t="s">
        <v>160</v>
      </c>
      <c r="O35" s="191" t="s">
        <v>160</v>
      </c>
      <c r="P35" s="317" t="s">
        <v>160</v>
      </c>
      <c r="Q35" s="317" t="s">
        <v>160</v>
      </c>
      <c r="R35" s="282" t="s">
        <v>160</v>
      </c>
      <c r="S35" s="283" t="s">
        <v>160</v>
      </c>
      <c r="T35" s="154" t="s">
        <v>635</v>
      </c>
      <c r="U35" s="74" t="s">
        <v>635</v>
      </c>
      <c r="V35" s="74" t="s">
        <v>642</v>
      </c>
      <c r="W35" s="74" t="s">
        <v>642</v>
      </c>
    </row>
    <row r="36" spans="1:23" ht="84">
      <c r="A36" s="157">
        <v>35</v>
      </c>
      <c r="B36" s="101"/>
      <c r="C36" s="101"/>
      <c r="D36" s="103">
        <v>647</v>
      </c>
      <c r="E36" s="103" t="s">
        <v>27</v>
      </c>
      <c r="F36" s="93" t="s">
        <v>297</v>
      </c>
      <c r="G36" s="105" t="s">
        <v>298</v>
      </c>
      <c r="H36" s="111" t="s">
        <v>299</v>
      </c>
      <c r="I36" s="99"/>
      <c r="J36" s="112" t="s">
        <v>655</v>
      </c>
      <c r="K36" s="103" t="s">
        <v>161</v>
      </c>
      <c r="L36" s="103">
        <v>0</v>
      </c>
      <c r="M36" s="98"/>
      <c r="N36" s="193" t="s">
        <v>160</v>
      </c>
      <c r="O36" s="193" t="s">
        <v>160</v>
      </c>
      <c r="P36" s="316" t="s">
        <v>160</v>
      </c>
      <c r="Q36" s="316" t="s">
        <v>160</v>
      </c>
      <c r="R36" s="288" t="s">
        <v>160</v>
      </c>
      <c r="S36" s="289" t="s">
        <v>160</v>
      </c>
      <c r="T36" s="112" t="s">
        <v>635</v>
      </c>
      <c r="U36" s="112" t="s">
        <v>635</v>
      </c>
      <c r="V36" s="74" t="s">
        <v>642</v>
      </c>
      <c r="W36" s="74" t="s">
        <v>642</v>
      </c>
    </row>
    <row r="37" spans="1:23" ht="120">
      <c r="A37" s="157">
        <v>36</v>
      </c>
      <c r="B37" s="100"/>
      <c r="C37" s="100"/>
      <c r="D37" s="103">
        <v>648</v>
      </c>
      <c r="E37" s="103" t="s">
        <v>170</v>
      </c>
      <c r="F37" s="93" t="s">
        <v>301</v>
      </c>
      <c r="G37" s="105" t="s">
        <v>302</v>
      </c>
      <c r="H37" s="105" t="s">
        <v>303</v>
      </c>
      <c r="I37" s="99"/>
      <c r="J37" s="112" t="s">
        <v>708</v>
      </c>
      <c r="K37" s="103" t="s">
        <v>58</v>
      </c>
      <c r="L37" s="103">
        <v>0</v>
      </c>
      <c r="M37" s="98"/>
      <c r="N37" s="74" t="s">
        <v>827</v>
      </c>
      <c r="O37" s="74" t="s">
        <v>827</v>
      </c>
      <c r="P37" s="208" t="s">
        <v>827</v>
      </c>
      <c r="Q37" s="208" t="s">
        <v>827</v>
      </c>
      <c r="R37" s="276" t="s">
        <v>306</v>
      </c>
      <c r="S37" s="277" t="s">
        <v>306</v>
      </c>
      <c r="T37" s="99" t="s">
        <v>709</v>
      </c>
      <c r="U37" s="99" t="s">
        <v>709</v>
      </c>
      <c r="V37" s="150" t="s">
        <v>710</v>
      </c>
      <c r="W37" s="159" t="s">
        <v>711</v>
      </c>
    </row>
    <row r="38" spans="1:23" ht="168">
      <c r="A38" s="157">
        <v>37</v>
      </c>
      <c r="B38" s="70"/>
      <c r="C38" s="70"/>
      <c r="D38" s="32">
        <v>650</v>
      </c>
      <c r="E38" s="80" t="s">
        <v>27</v>
      </c>
      <c r="F38" s="71" t="s">
        <v>307</v>
      </c>
      <c r="G38" s="51" t="s">
        <v>308</v>
      </c>
      <c r="H38" s="51" t="s">
        <v>712</v>
      </c>
      <c r="I38" s="74"/>
      <c r="J38" s="72"/>
      <c r="K38" s="32" t="s">
        <v>161</v>
      </c>
      <c r="L38" s="32">
        <v>1</v>
      </c>
      <c r="M38" s="88" t="s">
        <v>296</v>
      </c>
      <c r="N38" s="74" t="s">
        <v>160</v>
      </c>
      <c r="O38" s="277" t="s">
        <v>713</v>
      </c>
      <c r="P38" s="208" t="s">
        <v>160</v>
      </c>
      <c r="Q38" s="277" t="s">
        <v>329</v>
      </c>
      <c r="R38" s="282" t="s">
        <v>143</v>
      </c>
      <c r="S38" s="277" t="s">
        <v>713</v>
      </c>
      <c r="T38" s="154" t="s">
        <v>143</v>
      </c>
      <c r="U38" s="51" t="s">
        <v>310</v>
      </c>
      <c r="V38" s="151" t="s">
        <v>714</v>
      </c>
      <c r="W38" s="159" t="s">
        <v>715</v>
      </c>
    </row>
    <row r="39" spans="1:23" ht="144">
      <c r="A39" s="157">
        <v>38</v>
      </c>
      <c r="B39" s="70"/>
      <c r="C39" s="70"/>
      <c r="D39" s="32">
        <v>651</v>
      </c>
      <c r="E39" s="32" t="s">
        <v>145</v>
      </c>
      <c r="F39" s="71" t="s">
        <v>311</v>
      </c>
      <c r="G39" s="51" t="s">
        <v>312</v>
      </c>
      <c r="H39" s="51" t="s">
        <v>313</v>
      </c>
      <c r="I39" s="74"/>
      <c r="J39" s="72"/>
      <c r="K39" s="32" t="s">
        <v>161</v>
      </c>
      <c r="L39" s="32">
        <v>1</v>
      </c>
      <c r="M39" s="88" t="s">
        <v>150</v>
      </c>
      <c r="N39" s="74" t="s">
        <v>848</v>
      </c>
      <c r="O39" s="74" t="s">
        <v>847</v>
      </c>
      <c r="P39" s="208" t="s">
        <v>846</v>
      </c>
      <c r="Q39" s="208" t="s">
        <v>846</v>
      </c>
      <c r="R39" s="290" t="s">
        <v>716</v>
      </c>
      <c r="S39" s="291" t="s">
        <v>717</v>
      </c>
      <c r="T39" s="74" t="s">
        <v>718</v>
      </c>
      <c r="U39" s="74" t="s">
        <v>718</v>
      </c>
      <c r="V39" s="150" t="s">
        <v>719</v>
      </c>
      <c r="W39" s="159" t="s">
        <v>720</v>
      </c>
    </row>
    <row r="40" spans="1:23" ht="288">
      <c r="A40" s="157">
        <v>39</v>
      </c>
      <c r="B40" s="70"/>
      <c r="C40" s="70"/>
      <c r="D40" s="32">
        <v>660</v>
      </c>
      <c r="E40" s="80" t="s">
        <v>27</v>
      </c>
      <c r="F40" s="71" t="s">
        <v>316</v>
      </c>
      <c r="G40" s="51" t="s">
        <v>317</v>
      </c>
      <c r="H40" s="51" t="s">
        <v>721</v>
      </c>
      <c r="I40" s="74"/>
      <c r="J40" s="72"/>
      <c r="K40" s="32" t="s">
        <v>161</v>
      </c>
      <c r="L40" s="32">
        <v>1</v>
      </c>
      <c r="M40" s="88" t="s">
        <v>296</v>
      </c>
      <c r="N40" s="74" t="s">
        <v>160</v>
      </c>
      <c r="O40" s="277" t="s">
        <v>722</v>
      </c>
      <c r="P40" s="208" t="s">
        <v>160</v>
      </c>
      <c r="Q40" s="277" t="s">
        <v>845</v>
      </c>
      <c r="R40" s="282" t="s">
        <v>160</v>
      </c>
      <c r="S40" s="277" t="s">
        <v>722</v>
      </c>
      <c r="T40" s="154" t="s">
        <v>143</v>
      </c>
      <c r="U40" s="51" t="s">
        <v>319</v>
      </c>
      <c r="V40" s="151" t="s">
        <v>723</v>
      </c>
      <c r="W40" s="159" t="s">
        <v>715</v>
      </c>
    </row>
    <row r="41" spans="1:23" ht="302.25" customHeight="1">
      <c r="A41" s="157">
        <v>40</v>
      </c>
      <c r="B41" s="70"/>
      <c r="C41" s="70"/>
      <c r="D41" s="32">
        <v>661</v>
      </c>
      <c r="E41" s="32" t="s">
        <v>27</v>
      </c>
      <c r="F41" s="71" t="s">
        <v>320</v>
      </c>
      <c r="G41" s="51" t="s">
        <v>321</v>
      </c>
      <c r="H41" s="51" t="s">
        <v>724</v>
      </c>
      <c r="I41" s="74"/>
      <c r="J41" s="72"/>
      <c r="K41" s="32" t="s">
        <v>161</v>
      </c>
      <c r="L41" s="32">
        <v>0</v>
      </c>
      <c r="M41" s="88" t="s">
        <v>296</v>
      </c>
      <c r="N41" s="191" t="s">
        <v>160</v>
      </c>
      <c r="O41" s="191" t="s">
        <v>160</v>
      </c>
      <c r="P41" s="317" t="s">
        <v>160</v>
      </c>
      <c r="Q41" s="317" t="s">
        <v>160</v>
      </c>
      <c r="R41" s="282" t="s">
        <v>160</v>
      </c>
      <c r="S41" s="283" t="s">
        <v>160</v>
      </c>
      <c r="T41" s="154" t="s">
        <v>143</v>
      </c>
      <c r="U41" s="74" t="s">
        <v>143</v>
      </c>
      <c r="V41" s="151" t="s">
        <v>642</v>
      </c>
      <c r="W41" s="159" t="s">
        <v>642</v>
      </c>
    </row>
    <row r="42" spans="1:23" ht="59.25" customHeight="1">
      <c r="A42" s="157">
        <v>41</v>
      </c>
      <c r="B42" s="70"/>
      <c r="C42" s="70"/>
      <c r="D42" s="32">
        <v>662</v>
      </c>
      <c r="E42" s="32" t="s">
        <v>27</v>
      </c>
      <c r="F42" s="71" t="s">
        <v>323</v>
      </c>
      <c r="G42" s="51" t="s">
        <v>324</v>
      </c>
      <c r="H42" s="51" t="s">
        <v>325</v>
      </c>
      <c r="I42" s="74"/>
      <c r="J42" s="72"/>
      <c r="K42" s="32" t="s">
        <v>161</v>
      </c>
      <c r="L42" s="32">
        <v>0</v>
      </c>
      <c r="M42" s="88" t="s">
        <v>296</v>
      </c>
      <c r="N42" s="154" t="s">
        <v>143</v>
      </c>
      <c r="O42" s="191" t="s">
        <v>160</v>
      </c>
      <c r="P42" s="317" t="s">
        <v>143</v>
      </c>
      <c r="Q42" s="317" t="s">
        <v>160</v>
      </c>
      <c r="R42" s="282" t="s">
        <v>143</v>
      </c>
      <c r="S42" s="283" t="s">
        <v>160</v>
      </c>
      <c r="T42" s="154" t="s">
        <v>143</v>
      </c>
      <c r="U42" s="74" t="s">
        <v>143</v>
      </c>
      <c r="V42" s="151" t="s">
        <v>642</v>
      </c>
      <c r="W42" s="159" t="s">
        <v>642</v>
      </c>
    </row>
    <row r="43" spans="1:23" ht="162.75" customHeight="1">
      <c r="A43" s="157">
        <v>42</v>
      </c>
      <c r="B43" s="70"/>
      <c r="C43" s="70"/>
      <c r="D43" s="32">
        <v>663</v>
      </c>
      <c r="E43" s="32" t="s">
        <v>27</v>
      </c>
      <c r="F43" s="71" t="s">
        <v>326</v>
      </c>
      <c r="G43" s="51" t="s">
        <v>327</v>
      </c>
      <c r="H43" s="51" t="s">
        <v>725</v>
      </c>
      <c r="I43" s="74"/>
      <c r="J43" s="72"/>
      <c r="K43" s="32" t="s">
        <v>161</v>
      </c>
      <c r="L43" s="32">
        <v>0</v>
      </c>
      <c r="M43" s="88" t="s">
        <v>296</v>
      </c>
      <c r="N43" s="74" t="s">
        <v>160</v>
      </c>
      <c r="O43" s="277" t="s">
        <v>722</v>
      </c>
      <c r="P43" s="208" t="s">
        <v>160</v>
      </c>
      <c r="Q43" s="285" t="s">
        <v>329</v>
      </c>
      <c r="R43" s="282" t="s">
        <v>160</v>
      </c>
      <c r="S43" s="285" t="s">
        <v>713</v>
      </c>
      <c r="T43" s="154" t="s">
        <v>143</v>
      </c>
      <c r="U43" s="121" t="s">
        <v>310</v>
      </c>
      <c r="V43" s="151" t="s">
        <v>642</v>
      </c>
      <c r="W43" s="159" t="s">
        <v>642</v>
      </c>
    </row>
    <row r="44" spans="1:23" ht="122.25" customHeight="1">
      <c r="A44" s="157">
        <v>43</v>
      </c>
      <c r="B44" s="75"/>
      <c r="C44" s="75"/>
      <c r="D44" s="32">
        <v>664</v>
      </c>
      <c r="E44" s="32">
        <v>9</v>
      </c>
      <c r="F44" s="71" t="s">
        <v>330</v>
      </c>
      <c r="G44" s="51" t="s">
        <v>331</v>
      </c>
      <c r="H44" s="51" t="s">
        <v>332</v>
      </c>
      <c r="I44" s="74"/>
      <c r="J44" s="72"/>
      <c r="K44" s="32" t="s">
        <v>161</v>
      </c>
      <c r="L44" s="32">
        <v>1</v>
      </c>
      <c r="M44" s="88" t="s">
        <v>150</v>
      </c>
      <c r="N44" s="51" t="s">
        <v>335</v>
      </c>
      <c r="O44" s="51" t="s">
        <v>335</v>
      </c>
      <c r="P44" s="208" t="s">
        <v>726</v>
      </c>
      <c r="Q44" s="208" t="s">
        <v>726</v>
      </c>
      <c r="R44" s="276" t="s">
        <v>726</v>
      </c>
      <c r="S44" s="277" t="s">
        <v>726</v>
      </c>
      <c r="T44" s="51" t="s">
        <v>727</v>
      </c>
      <c r="U44" s="51" t="s">
        <v>727</v>
      </c>
      <c r="V44" s="159" t="s">
        <v>728</v>
      </c>
      <c r="W44" s="159" t="s">
        <v>728</v>
      </c>
    </row>
    <row r="45" spans="1:23" ht="108">
      <c r="A45" s="157">
        <v>44</v>
      </c>
      <c r="B45" s="70"/>
      <c r="C45" s="70"/>
      <c r="D45" s="32">
        <v>665</v>
      </c>
      <c r="E45" s="32" t="s">
        <v>162</v>
      </c>
      <c r="F45" s="71" t="s">
        <v>163</v>
      </c>
      <c r="G45" s="51" t="s">
        <v>336</v>
      </c>
      <c r="H45" s="51" t="s">
        <v>337</v>
      </c>
      <c r="I45" s="74"/>
      <c r="J45" s="72"/>
      <c r="K45" s="32" t="s">
        <v>161</v>
      </c>
      <c r="L45" s="32">
        <v>1</v>
      </c>
      <c r="M45" s="88" t="s">
        <v>150</v>
      </c>
      <c r="N45" s="51" t="s">
        <v>340</v>
      </c>
      <c r="O45" s="51" t="s">
        <v>828</v>
      </c>
      <c r="P45" s="208" t="s">
        <v>340</v>
      </c>
      <c r="Q45" s="208" t="s">
        <v>730</v>
      </c>
      <c r="R45" s="292" t="s">
        <v>729</v>
      </c>
      <c r="S45" s="277" t="s">
        <v>730</v>
      </c>
      <c r="T45" s="51" t="s">
        <v>731</v>
      </c>
      <c r="U45" s="51" t="s">
        <v>732</v>
      </c>
      <c r="V45" s="51" t="s">
        <v>733</v>
      </c>
      <c r="W45" s="51" t="s">
        <v>733</v>
      </c>
    </row>
    <row r="46" spans="1:23" ht="153.75" customHeight="1">
      <c r="A46" s="157">
        <v>45</v>
      </c>
      <c r="B46" s="75"/>
      <c r="C46" s="75"/>
      <c r="D46" s="32">
        <v>670</v>
      </c>
      <c r="E46" s="32" t="s">
        <v>27</v>
      </c>
      <c r="F46" s="71" t="s">
        <v>341</v>
      </c>
      <c r="G46" s="51" t="s">
        <v>342</v>
      </c>
      <c r="H46" s="51" t="s">
        <v>734</v>
      </c>
      <c r="I46" s="74"/>
      <c r="J46" s="72"/>
      <c r="K46" s="32" t="s">
        <v>161</v>
      </c>
      <c r="L46" s="32">
        <v>1</v>
      </c>
      <c r="M46" s="88" t="s">
        <v>296</v>
      </c>
      <c r="N46" s="74" t="s">
        <v>160</v>
      </c>
      <c r="O46" s="74" t="s">
        <v>160</v>
      </c>
      <c r="P46" s="208" t="s">
        <v>160</v>
      </c>
      <c r="Q46" s="208" t="s">
        <v>160</v>
      </c>
      <c r="R46" s="276" t="s">
        <v>160</v>
      </c>
      <c r="S46" s="277" t="s">
        <v>160</v>
      </c>
      <c r="T46" s="154" t="s">
        <v>143</v>
      </c>
      <c r="U46" s="74" t="s">
        <v>143</v>
      </c>
      <c r="V46" s="74" t="s">
        <v>642</v>
      </c>
      <c r="W46" s="74" t="s">
        <v>642</v>
      </c>
    </row>
    <row r="47" spans="1:23" ht="192">
      <c r="A47" s="157">
        <v>46</v>
      </c>
      <c r="B47" s="70"/>
      <c r="C47" s="70"/>
      <c r="D47" s="32">
        <v>671</v>
      </c>
      <c r="E47" s="32" t="s">
        <v>27</v>
      </c>
      <c r="F47" s="71" t="s">
        <v>344</v>
      </c>
      <c r="G47" s="51" t="s">
        <v>345</v>
      </c>
      <c r="H47" s="51" t="s">
        <v>735</v>
      </c>
      <c r="I47" s="74"/>
      <c r="J47" s="72"/>
      <c r="K47" s="32" t="s">
        <v>161</v>
      </c>
      <c r="L47" s="32">
        <v>0</v>
      </c>
      <c r="M47" s="88" t="s">
        <v>296</v>
      </c>
      <c r="N47" s="74" t="s">
        <v>160</v>
      </c>
      <c r="O47" s="74" t="s">
        <v>160</v>
      </c>
      <c r="P47" s="208" t="s">
        <v>160</v>
      </c>
      <c r="Q47" s="208" t="s">
        <v>160</v>
      </c>
      <c r="R47" s="276" t="s">
        <v>160</v>
      </c>
      <c r="S47" s="277" t="s">
        <v>160</v>
      </c>
      <c r="T47" s="154" t="s">
        <v>143</v>
      </c>
      <c r="U47" s="74" t="s">
        <v>143</v>
      </c>
      <c r="V47" s="74" t="s">
        <v>642</v>
      </c>
      <c r="W47" s="74" t="s">
        <v>642</v>
      </c>
    </row>
    <row r="48" spans="1:23" ht="216">
      <c r="A48" s="157">
        <v>47</v>
      </c>
      <c r="B48" s="70"/>
      <c r="C48" s="70"/>
      <c r="D48" s="32">
        <v>672</v>
      </c>
      <c r="E48" s="32" t="s">
        <v>27</v>
      </c>
      <c r="F48" s="71" t="s">
        <v>347</v>
      </c>
      <c r="G48" s="51" t="s">
        <v>348</v>
      </c>
      <c r="H48" s="51" t="s">
        <v>736</v>
      </c>
      <c r="I48" s="74"/>
      <c r="J48" s="72"/>
      <c r="K48" s="32" t="s">
        <v>161</v>
      </c>
      <c r="L48" s="32">
        <v>0</v>
      </c>
      <c r="M48" s="88" t="s">
        <v>296</v>
      </c>
      <c r="N48" s="74" t="s">
        <v>160</v>
      </c>
      <c r="O48" s="74" t="s">
        <v>160</v>
      </c>
      <c r="P48" s="208" t="s">
        <v>160</v>
      </c>
      <c r="Q48" s="208" t="s">
        <v>160</v>
      </c>
      <c r="R48" s="276" t="s">
        <v>160</v>
      </c>
      <c r="S48" s="277" t="s">
        <v>160</v>
      </c>
      <c r="T48" s="154" t="s">
        <v>143</v>
      </c>
      <c r="U48" s="74" t="s">
        <v>143</v>
      </c>
      <c r="V48" s="74" t="s">
        <v>642</v>
      </c>
      <c r="W48" s="74" t="s">
        <v>642</v>
      </c>
    </row>
    <row r="49" spans="1:23" ht="168">
      <c r="A49" s="157">
        <v>48</v>
      </c>
      <c r="B49" s="70"/>
      <c r="C49" s="70"/>
      <c r="D49" s="32">
        <v>673</v>
      </c>
      <c r="E49" s="32" t="s">
        <v>27</v>
      </c>
      <c r="F49" s="71" t="s">
        <v>350</v>
      </c>
      <c r="G49" s="51" t="s">
        <v>351</v>
      </c>
      <c r="H49" s="51" t="s">
        <v>737</v>
      </c>
      <c r="I49" s="74"/>
      <c r="J49" s="72"/>
      <c r="K49" s="32" t="s">
        <v>161</v>
      </c>
      <c r="L49" s="32">
        <v>0</v>
      </c>
      <c r="M49" s="88" t="s">
        <v>296</v>
      </c>
      <c r="N49" s="74" t="s">
        <v>160</v>
      </c>
      <c r="O49" s="74" t="s">
        <v>160</v>
      </c>
      <c r="P49" s="208" t="s">
        <v>160</v>
      </c>
      <c r="Q49" s="208" t="s">
        <v>160</v>
      </c>
      <c r="R49" s="276" t="s">
        <v>160</v>
      </c>
      <c r="S49" s="277" t="s">
        <v>160</v>
      </c>
      <c r="T49" s="154" t="s">
        <v>143</v>
      </c>
      <c r="U49" s="74" t="s">
        <v>143</v>
      </c>
      <c r="V49" s="74" t="s">
        <v>642</v>
      </c>
      <c r="W49" s="74" t="s">
        <v>642</v>
      </c>
    </row>
    <row r="50" spans="1:23" ht="216">
      <c r="A50" s="157">
        <v>49</v>
      </c>
      <c r="B50" s="75"/>
      <c r="C50" s="75"/>
      <c r="D50" s="32">
        <v>674</v>
      </c>
      <c r="E50" s="32" t="s">
        <v>27</v>
      </c>
      <c r="F50" s="71" t="s">
        <v>353</v>
      </c>
      <c r="G50" s="51" t="s">
        <v>354</v>
      </c>
      <c r="H50" s="51" t="s">
        <v>738</v>
      </c>
      <c r="I50" s="74"/>
      <c r="J50" s="72"/>
      <c r="K50" s="32" t="s">
        <v>161</v>
      </c>
      <c r="L50" s="32">
        <v>0</v>
      </c>
      <c r="M50" s="88" t="s">
        <v>296</v>
      </c>
      <c r="N50" s="74" t="s">
        <v>160</v>
      </c>
      <c r="O50" s="74" t="s">
        <v>160</v>
      </c>
      <c r="P50" s="208" t="s">
        <v>160</v>
      </c>
      <c r="Q50" s="208" t="s">
        <v>160</v>
      </c>
      <c r="R50" s="276" t="s">
        <v>160</v>
      </c>
      <c r="S50" s="277" t="s">
        <v>160</v>
      </c>
      <c r="T50" s="154" t="s">
        <v>143</v>
      </c>
      <c r="U50" s="74" t="s">
        <v>143</v>
      </c>
      <c r="V50" s="74" t="s">
        <v>642</v>
      </c>
      <c r="W50" s="74" t="s">
        <v>642</v>
      </c>
    </row>
    <row r="51" spans="1:23" ht="189.75" customHeight="1">
      <c r="A51" s="157">
        <v>50</v>
      </c>
      <c r="B51" s="70"/>
      <c r="C51" s="70"/>
      <c r="D51" s="32">
        <v>675</v>
      </c>
      <c r="E51" s="32" t="s">
        <v>27</v>
      </c>
      <c r="F51" s="71" t="s">
        <v>356</v>
      </c>
      <c r="G51" s="51" t="s">
        <v>357</v>
      </c>
      <c r="H51" s="51" t="s">
        <v>739</v>
      </c>
      <c r="I51" s="74"/>
      <c r="J51" s="72"/>
      <c r="K51" s="32" t="s">
        <v>161</v>
      </c>
      <c r="L51" s="32">
        <v>0</v>
      </c>
      <c r="M51" s="88" t="s">
        <v>296</v>
      </c>
      <c r="N51" s="74" t="s">
        <v>160</v>
      </c>
      <c r="O51" s="277" t="s">
        <v>740</v>
      </c>
      <c r="P51" s="208" t="s">
        <v>160</v>
      </c>
      <c r="Q51" s="277" t="s">
        <v>740</v>
      </c>
      <c r="R51" s="276" t="s">
        <v>160</v>
      </c>
      <c r="S51" s="277" t="s">
        <v>740</v>
      </c>
      <c r="T51" s="154" t="s">
        <v>143</v>
      </c>
      <c r="U51" s="121" t="s">
        <v>741</v>
      </c>
      <c r="V51" s="74" t="s">
        <v>642</v>
      </c>
      <c r="W51" s="74" t="s">
        <v>642</v>
      </c>
    </row>
    <row r="52" spans="1:23" ht="114.75" customHeight="1">
      <c r="A52" s="157">
        <v>51</v>
      </c>
      <c r="B52" s="101"/>
      <c r="C52" s="101"/>
      <c r="D52" s="92">
        <v>676</v>
      </c>
      <c r="E52" s="103" t="s">
        <v>27</v>
      </c>
      <c r="F52" s="93" t="s">
        <v>359</v>
      </c>
      <c r="G52" s="105" t="s">
        <v>360</v>
      </c>
      <c r="H52" s="111" t="s">
        <v>742</v>
      </c>
      <c r="I52" s="99"/>
      <c r="J52" s="94"/>
      <c r="K52" s="103" t="s">
        <v>161</v>
      </c>
      <c r="L52" s="103">
        <v>0</v>
      </c>
      <c r="M52" s="98"/>
      <c r="N52" s="94"/>
      <c r="O52" s="95"/>
      <c r="P52" s="323"/>
      <c r="Q52" s="315"/>
      <c r="R52" s="293" t="s">
        <v>743</v>
      </c>
      <c r="S52" s="287" t="s">
        <v>743</v>
      </c>
      <c r="T52" s="94"/>
      <c r="U52" s="95"/>
      <c r="V52" s="99" t="s">
        <v>642</v>
      </c>
      <c r="W52" s="99" t="s">
        <v>642</v>
      </c>
    </row>
    <row r="53" spans="1:23" ht="72">
      <c r="A53" s="157">
        <v>52</v>
      </c>
      <c r="B53" s="75"/>
      <c r="C53" s="75"/>
      <c r="D53" s="32">
        <v>677</v>
      </c>
      <c r="E53" s="32" t="s">
        <v>27</v>
      </c>
      <c r="F53" s="71" t="s">
        <v>362</v>
      </c>
      <c r="G53" s="51" t="s">
        <v>363</v>
      </c>
      <c r="H53" s="51" t="s">
        <v>364</v>
      </c>
      <c r="I53" s="74"/>
      <c r="J53" s="72"/>
      <c r="K53" s="32" t="s">
        <v>161</v>
      </c>
      <c r="L53" s="32">
        <v>0</v>
      </c>
      <c r="M53" s="88" t="s">
        <v>296</v>
      </c>
      <c r="N53" s="191" t="s">
        <v>160</v>
      </c>
      <c r="O53" s="191" t="s">
        <v>160</v>
      </c>
      <c r="P53" s="317" t="s">
        <v>160</v>
      </c>
      <c r="Q53" s="317" t="s">
        <v>160</v>
      </c>
      <c r="R53" s="282" t="s">
        <v>160</v>
      </c>
      <c r="S53" s="283" t="s">
        <v>160</v>
      </c>
      <c r="T53" s="154" t="s">
        <v>143</v>
      </c>
      <c r="U53" s="74" t="s">
        <v>143</v>
      </c>
      <c r="V53" s="74" t="s">
        <v>642</v>
      </c>
      <c r="W53" s="74" t="s">
        <v>642</v>
      </c>
    </row>
    <row r="54" spans="1:23" ht="252">
      <c r="A54" s="157">
        <v>53</v>
      </c>
      <c r="B54" s="70"/>
      <c r="C54" s="70"/>
      <c r="D54" s="32">
        <v>678</v>
      </c>
      <c r="E54" s="32" t="s">
        <v>145</v>
      </c>
      <c r="F54" s="71" t="s">
        <v>365</v>
      </c>
      <c r="G54" s="51" t="s">
        <v>744</v>
      </c>
      <c r="H54" s="51" t="s">
        <v>367</v>
      </c>
      <c r="I54" s="74"/>
      <c r="J54" s="5" t="s">
        <v>369</v>
      </c>
      <c r="K54" s="32" t="s">
        <v>161</v>
      </c>
      <c r="L54" s="32">
        <v>1</v>
      </c>
      <c r="M54" s="88" t="s">
        <v>150</v>
      </c>
      <c r="N54" s="324" t="s">
        <v>844</v>
      </c>
      <c r="O54" s="74" t="s">
        <v>843</v>
      </c>
      <c r="P54" s="208" t="s">
        <v>745</v>
      </c>
      <c r="Q54" s="208" t="s">
        <v>746</v>
      </c>
      <c r="R54" s="276" t="s">
        <v>745</v>
      </c>
      <c r="S54" s="277" t="s">
        <v>746</v>
      </c>
      <c r="T54" s="74" t="s">
        <v>747</v>
      </c>
      <c r="U54" s="74" t="s">
        <v>748</v>
      </c>
      <c r="V54" s="150" t="s">
        <v>749</v>
      </c>
      <c r="W54" s="159" t="s">
        <v>750</v>
      </c>
    </row>
    <row r="55" spans="1:23" ht="228">
      <c r="A55" s="157">
        <v>54</v>
      </c>
      <c r="B55" s="75"/>
      <c r="C55" s="75"/>
      <c r="D55" s="32">
        <v>687</v>
      </c>
      <c r="E55" s="32" t="s">
        <v>371</v>
      </c>
      <c r="F55" s="71" t="s">
        <v>372</v>
      </c>
      <c r="G55" s="51" t="s">
        <v>373</v>
      </c>
      <c r="H55" s="51" t="s">
        <v>374</v>
      </c>
      <c r="I55" s="74"/>
      <c r="J55" s="72"/>
      <c r="K55" s="32" t="s">
        <v>161</v>
      </c>
      <c r="L55" s="32">
        <v>1</v>
      </c>
      <c r="M55" s="88" t="s">
        <v>150</v>
      </c>
      <c r="N55" s="5" t="s">
        <v>376</v>
      </c>
      <c r="O55" s="5" t="s">
        <v>377</v>
      </c>
      <c r="P55" s="168" t="s">
        <v>751</v>
      </c>
      <c r="Q55" s="168" t="s">
        <v>752</v>
      </c>
      <c r="R55" s="284" t="s">
        <v>751</v>
      </c>
      <c r="S55" s="285" t="s">
        <v>752</v>
      </c>
      <c r="T55" s="5" t="s">
        <v>753</v>
      </c>
      <c r="U55" s="5" t="s">
        <v>754</v>
      </c>
      <c r="V55" s="150" t="s">
        <v>755</v>
      </c>
      <c r="W55" s="159" t="s">
        <v>756</v>
      </c>
    </row>
    <row r="56" spans="1:23" ht="228">
      <c r="A56" s="157">
        <v>55</v>
      </c>
      <c r="B56" s="75"/>
      <c r="C56" s="75"/>
      <c r="D56" s="32">
        <v>704</v>
      </c>
      <c r="E56" s="32" t="s">
        <v>27</v>
      </c>
      <c r="F56" s="71" t="s">
        <v>379</v>
      </c>
      <c r="G56" s="51" t="s">
        <v>380</v>
      </c>
      <c r="H56" s="51" t="s">
        <v>757</v>
      </c>
      <c r="I56" s="74"/>
      <c r="J56" s="72"/>
      <c r="K56" s="32" t="s">
        <v>161</v>
      </c>
      <c r="L56" s="32">
        <v>1</v>
      </c>
      <c r="M56" s="88" t="s">
        <v>150</v>
      </c>
      <c r="N56" s="5" t="s">
        <v>383</v>
      </c>
      <c r="O56" s="5" t="s">
        <v>384</v>
      </c>
      <c r="P56" s="168" t="s">
        <v>758</v>
      </c>
      <c r="Q56" s="168" t="s">
        <v>759</v>
      </c>
      <c r="R56" s="284" t="s">
        <v>758</v>
      </c>
      <c r="S56" s="285" t="s">
        <v>759</v>
      </c>
      <c r="T56" s="5" t="s">
        <v>760</v>
      </c>
      <c r="U56" s="5" t="s">
        <v>761</v>
      </c>
      <c r="V56" s="150" t="s">
        <v>762</v>
      </c>
      <c r="W56" s="159" t="s">
        <v>763</v>
      </c>
    </row>
    <row r="57" spans="1:23" ht="228">
      <c r="A57" s="157">
        <v>56</v>
      </c>
      <c r="B57" s="70"/>
      <c r="C57" s="70"/>
      <c r="D57" s="32">
        <v>705</v>
      </c>
      <c r="E57" s="32" t="s">
        <v>385</v>
      </c>
      <c r="F57" s="71" t="s">
        <v>386</v>
      </c>
      <c r="G57" s="51" t="s">
        <v>387</v>
      </c>
      <c r="H57" s="51" t="s">
        <v>388</v>
      </c>
      <c r="I57" s="114"/>
      <c r="J57" s="72"/>
      <c r="K57" s="32" t="s">
        <v>161</v>
      </c>
      <c r="L57" s="32">
        <v>1</v>
      </c>
      <c r="M57" s="88" t="s">
        <v>150</v>
      </c>
      <c r="N57" s="284" t="s">
        <v>829</v>
      </c>
      <c r="O57" s="285" t="s">
        <v>765</v>
      </c>
      <c r="P57" s="284" t="s">
        <v>764</v>
      </c>
      <c r="Q57" s="285" t="s">
        <v>765</v>
      </c>
      <c r="R57" s="284" t="s">
        <v>764</v>
      </c>
      <c r="S57" s="285" t="s">
        <v>765</v>
      </c>
      <c r="T57" s="5" t="s">
        <v>766</v>
      </c>
      <c r="U57" s="5" t="s">
        <v>767</v>
      </c>
      <c r="V57" s="150" t="s">
        <v>768</v>
      </c>
      <c r="W57" s="159" t="s">
        <v>769</v>
      </c>
    </row>
    <row r="58" spans="1:23" ht="123.75" customHeight="1">
      <c r="A58" s="157">
        <v>57</v>
      </c>
      <c r="B58" s="70"/>
      <c r="C58" s="70"/>
      <c r="D58" s="32">
        <v>727</v>
      </c>
      <c r="E58" s="32" t="s">
        <v>27</v>
      </c>
      <c r="F58" s="71" t="s">
        <v>395</v>
      </c>
      <c r="G58" s="51" t="s">
        <v>396</v>
      </c>
      <c r="H58" s="51" t="s">
        <v>397</v>
      </c>
      <c r="I58" s="114"/>
      <c r="J58" s="5" t="s">
        <v>770</v>
      </c>
      <c r="K58" s="32" t="s">
        <v>161</v>
      </c>
      <c r="L58" s="32">
        <v>1</v>
      </c>
      <c r="M58" s="88" t="s">
        <v>150</v>
      </c>
      <c r="N58" s="5" t="s">
        <v>830</v>
      </c>
      <c r="O58" s="74" t="s">
        <v>830</v>
      </c>
      <c r="P58" s="208" t="s">
        <v>842</v>
      </c>
      <c r="Q58" s="208" t="s">
        <v>842</v>
      </c>
      <c r="R58" s="276" t="s">
        <v>771</v>
      </c>
      <c r="S58" s="277" t="s">
        <v>772</v>
      </c>
      <c r="T58" s="5" t="s">
        <v>773</v>
      </c>
      <c r="U58" s="5" t="s">
        <v>773</v>
      </c>
      <c r="V58" s="159" t="s">
        <v>774</v>
      </c>
      <c r="W58" s="159" t="s">
        <v>774</v>
      </c>
    </row>
    <row r="59" spans="1:23" ht="24">
      <c r="A59" s="157">
        <v>58</v>
      </c>
      <c r="B59" s="70"/>
      <c r="C59" s="70"/>
      <c r="D59" s="32">
        <v>728</v>
      </c>
      <c r="E59" s="32" t="s">
        <v>145</v>
      </c>
      <c r="F59" s="71" t="s">
        <v>400</v>
      </c>
      <c r="G59" s="51" t="s">
        <v>401</v>
      </c>
      <c r="H59" s="51" t="s">
        <v>402</v>
      </c>
      <c r="I59" s="74"/>
      <c r="J59" s="72"/>
      <c r="K59" s="32" t="s">
        <v>161</v>
      </c>
      <c r="L59" s="32">
        <v>0</v>
      </c>
      <c r="M59" s="88" t="s">
        <v>150</v>
      </c>
      <c r="N59" s="193" t="s">
        <v>160</v>
      </c>
      <c r="O59" s="193" t="s">
        <v>160</v>
      </c>
      <c r="P59" s="316" t="s">
        <v>160</v>
      </c>
      <c r="Q59" s="316" t="s">
        <v>160</v>
      </c>
      <c r="R59" s="288" t="s">
        <v>160</v>
      </c>
      <c r="S59" s="289" t="s">
        <v>160</v>
      </c>
      <c r="T59" s="5" t="s">
        <v>635</v>
      </c>
      <c r="U59" s="5" t="s">
        <v>635</v>
      </c>
      <c r="V59" s="150" t="s">
        <v>642</v>
      </c>
      <c r="W59" s="159" t="s">
        <v>642</v>
      </c>
    </row>
    <row r="60" spans="1:23" ht="180" customHeight="1">
      <c r="A60" s="157">
        <v>59</v>
      </c>
      <c r="B60" s="70"/>
      <c r="C60" s="70"/>
      <c r="D60" s="32">
        <v>737</v>
      </c>
      <c r="E60" s="32" t="s">
        <v>145</v>
      </c>
      <c r="F60" s="71" t="s">
        <v>403</v>
      </c>
      <c r="G60" s="51" t="s">
        <v>404</v>
      </c>
      <c r="H60" s="51" t="s">
        <v>405</v>
      </c>
      <c r="I60" s="74"/>
      <c r="J60" s="5" t="s">
        <v>407</v>
      </c>
      <c r="K60" s="32" t="s">
        <v>161</v>
      </c>
      <c r="L60" s="32">
        <v>1</v>
      </c>
      <c r="M60" s="88" t="s">
        <v>150</v>
      </c>
      <c r="N60" s="300" t="s">
        <v>841</v>
      </c>
      <c r="O60" s="300" t="s">
        <v>841</v>
      </c>
      <c r="P60" s="208" t="s">
        <v>775</v>
      </c>
      <c r="Q60" s="208" t="s">
        <v>775</v>
      </c>
      <c r="R60" s="276" t="s">
        <v>775</v>
      </c>
      <c r="S60" s="277" t="s">
        <v>775</v>
      </c>
      <c r="T60" s="74" t="s">
        <v>408</v>
      </c>
      <c r="U60" s="74" t="s">
        <v>408</v>
      </c>
      <c r="V60" s="150" t="s">
        <v>776</v>
      </c>
      <c r="W60" s="165" t="s">
        <v>776</v>
      </c>
    </row>
    <row r="61" spans="1:23" ht="225.75" customHeight="1">
      <c r="A61" s="157">
        <v>60</v>
      </c>
      <c r="B61" s="70"/>
      <c r="C61" s="70"/>
      <c r="D61" s="32">
        <v>746</v>
      </c>
      <c r="E61" s="32" t="s">
        <v>27</v>
      </c>
      <c r="F61" s="71" t="s">
        <v>409</v>
      </c>
      <c r="G61" s="51" t="s">
        <v>410</v>
      </c>
      <c r="H61" s="51" t="s">
        <v>777</v>
      </c>
      <c r="I61" s="74"/>
      <c r="J61" s="72"/>
      <c r="K61" s="32" t="s">
        <v>52</v>
      </c>
      <c r="L61" s="32">
        <v>1</v>
      </c>
      <c r="M61" s="88" t="s">
        <v>150</v>
      </c>
      <c r="N61" s="74" t="s">
        <v>412</v>
      </c>
      <c r="O61" s="74" t="s">
        <v>412</v>
      </c>
      <c r="P61" s="208" t="s">
        <v>412</v>
      </c>
      <c r="Q61" s="208" t="s">
        <v>412</v>
      </c>
      <c r="R61" s="276" t="s">
        <v>412</v>
      </c>
      <c r="S61" s="277" t="s">
        <v>412</v>
      </c>
      <c r="T61" s="5" t="s">
        <v>168</v>
      </c>
      <c r="U61" s="5" t="s">
        <v>168</v>
      </c>
      <c r="V61" s="150" t="s">
        <v>642</v>
      </c>
      <c r="W61" s="159" t="s">
        <v>642</v>
      </c>
    </row>
    <row r="62" spans="1:23" ht="156">
      <c r="A62" s="157">
        <v>61</v>
      </c>
      <c r="B62" s="70"/>
      <c r="C62" s="70"/>
      <c r="D62" s="32">
        <v>747</v>
      </c>
      <c r="E62" s="32">
        <v>9</v>
      </c>
      <c r="F62" s="71" t="s">
        <v>414</v>
      </c>
      <c r="G62" s="51" t="s">
        <v>415</v>
      </c>
      <c r="H62" s="51" t="s">
        <v>778</v>
      </c>
      <c r="I62" s="74"/>
      <c r="J62" s="5" t="s">
        <v>779</v>
      </c>
      <c r="K62" s="32" t="s">
        <v>52</v>
      </c>
      <c r="L62" s="32">
        <v>1</v>
      </c>
      <c r="M62" s="88" t="s">
        <v>150</v>
      </c>
      <c r="N62" s="5" t="s">
        <v>160</v>
      </c>
      <c r="O62" s="5" t="s">
        <v>160</v>
      </c>
      <c r="P62" s="168" t="s">
        <v>160</v>
      </c>
      <c r="Q62" s="168" t="s">
        <v>160</v>
      </c>
      <c r="R62" s="288" t="s">
        <v>160</v>
      </c>
      <c r="S62" s="289" t="s">
        <v>160</v>
      </c>
      <c r="T62" s="5" t="s">
        <v>143</v>
      </c>
      <c r="U62" s="5" t="s">
        <v>143</v>
      </c>
      <c r="V62" s="150" t="s">
        <v>780</v>
      </c>
      <c r="W62" s="165" t="s">
        <v>780</v>
      </c>
    </row>
    <row r="63" spans="1:23" ht="202.5" customHeight="1">
      <c r="A63" s="157">
        <v>62</v>
      </c>
      <c r="B63" s="70"/>
      <c r="C63" s="70"/>
      <c r="D63" s="32">
        <v>748</v>
      </c>
      <c r="E63" s="32" t="s">
        <v>27</v>
      </c>
      <c r="F63" s="71" t="s">
        <v>418</v>
      </c>
      <c r="G63" s="51" t="s">
        <v>419</v>
      </c>
      <c r="H63" s="51" t="s">
        <v>781</v>
      </c>
      <c r="I63" s="74"/>
      <c r="J63" s="51"/>
      <c r="K63" s="32" t="s">
        <v>161</v>
      </c>
      <c r="L63" s="32">
        <v>0</v>
      </c>
      <c r="M63" s="88" t="s">
        <v>296</v>
      </c>
      <c r="N63" s="193" t="s">
        <v>160</v>
      </c>
      <c r="O63" s="193" t="s">
        <v>160</v>
      </c>
      <c r="P63" s="316" t="s">
        <v>160</v>
      </c>
      <c r="Q63" s="316" t="s">
        <v>160</v>
      </c>
      <c r="R63" s="288" t="s">
        <v>160</v>
      </c>
      <c r="S63" s="289" t="s">
        <v>160</v>
      </c>
      <c r="T63" s="155" t="s">
        <v>635</v>
      </c>
      <c r="U63" s="5" t="s">
        <v>635</v>
      </c>
      <c r="V63" s="151" t="s">
        <v>642</v>
      </c>
      <c r="W63" s="159" t="s">
        <v>642</v>
      </c>
    </row>
    <row r="64" spans="1:23" ht="12.75" customHeight="1">
      <c r="A64" s="157">
        <v>63</v>
      </c>
      <c r="B64" s="100"/>
      <c r="C64" s="100"/>
      <c r="D64" s="103">
        <v>749</v>
      </c>
      <c r="E64" s="103" t="s">
        <v>421</v>
      </c>
      <c r="F64" s="93"/>
      <c r="G64" s="105" t="s">
        <v>422</v>
      </c>
      <c r="H64" s="105"/>
      <c r="I64" s="99"/>
      <c r="J64" s="94"/>
      <c r="K64" s="103"/>
      <c r="L64" s="103">
        <v>0</v>
      </c>
      <c r="M64" s="98"/>
      <c r="N64" s="5" t="s">
        <v>840</v>
      </c>
      <c r="O64" s="5" t="s">
        <v>840</v>
      </c>
      <c r="P64" s="323"/>
      <c r="Q64" s="322"/>
      <c r="R64" s="293" t="s">
        <v>743</v>
      </c>
      <c r="S64" s="294" t="s">
        <v>743</v>
      </c>
      <c r="T64" s="94"/>
      <c r="U64" s="117"/>
      <c r="V64" s="99"/>
      <c r="W64" s="99"/>
    </row>
    <row r="65" spans="1:23" ht="36">
      <c r="A65" s="157">
        <v>64</v>
      </c>
      <c r="B65" s="75"/>
      <c r="C65" s="75"/>
      <c r="D65" s="32">
        <v>749</v>
      </c>
      <c r="E65" s="32" t="s">
        <v>423</v>
      </c>
      <c r="F65" s="71"/>
      <c r="G65" s="51" t="s">
        <v>424</v>
      </c>
      <c r="H65" s="51" t="s">
        <v>425</v>
      </c>
      <c r="I65" s="74"/>
      <c r="J65" s="5" t="s">
        <v>782</v>
      </c>
      <c r="K65" s="32" t="s">
        <v>161</v>
      </c>
      <c r="L65" s="32">
        <v>1</v>
      </c>
      <c r="M65" s="88" t="s">
        <v>150</v>
      </c>
      <c r="N65" s="193" t="s">
        <v>160</v>
      </c>
      <c r="O65" s="193" t="s">
        <v>160</v>
      </c>
      <c r="P65" s="321" t="s">
        <v>160</v>
      </c>
      <c r="Q65" s="321" t="s">
        <v>160</v>
      </c>
      <c r="R65" s="288" t="s">
        <v>160</v>
      </c>
      <c r="S65" s="289" t="s">
        <v>160</v>
      </c>
      <c r="T65" s="5" t="s">
        <v>635</v>
      </c>
      <c r="U65" s="5" t="s">
        <v>635</v>
      </c>
      <c r="V65" s="5" t="s">
        <v>783</v>
      </c>
      <c r="W65" s="74" t="s">
        <v>783</v>
      </c>
    </row>
    <row r="66" spans="1:23" ht="36">
      <c r="A66" s="157">
        <v>65</v>
      </c>
      <c r="B66" s="75"/>
      <c r="C66" s="75"/>
      <c r="D66" s="78">
        <v>752</v>
      </c>
      <c r="E66" s="78" t="s">
        <v>277</v>
      </c>
      <c r="F66" s="71"/>
      <c r="G66" s="51" t="s">
        <v>427</v>
      </c>
      <c r="H66" s="51" t="s">
        <v>428</v>
      </c>
      <c r="I66" s="74"/>
      <c r="J66" s="5" t="s">
        <v>782</v>
      </c>
      <c r="K66" s="32" t="s">
        <v>161</v>
      </c>
      <c r="L66" s="32">
        <v>1</v>
      </c>
      <c r="M66" s="88" t="s">
        <v>150</v>
      </c>
      <c r="N66" s="193" t="s">
        <v>160</v>
      </c>
      <c r="O66" s="193" t="s">
        <v>160</v>
      </c>
      <c r="P66" s="321" t="s">
        <v>160</v>
      </c>
      <c r="Q66" s="321" t="s">
        <v>160</v>
      </c>
      <c r="R66" s="288" t="s">
        <v>160</v>
      </c>
      <c r="S66" s="289" t="s">
        <v>160</v>
      </c>
      <c r="T66" s="5" t="s">
        <v>635</v>
      </c>
      <c r="U66" s="5" t="s">
        <v>635</v>
      </c>
      <c r="V66" s="5" t="s">
        <v>783</v>
      </c>
      <c r="W66" s="5" t="s">
        <v>783</v>
      </c>
    </row>
    <row r="67" spans="1:23" ht="120">
      <c r="A67" s="157">
        <v>66</v>
      </c>
      <c r="B67" s="70"/>
      <c r="C67" s="70"/>
      <c r="D67" s="32">
        <v>761</v>
      </c>
      <c r="E67" s="32" t="s">
        <v>27</v>
      </c>
      <c r="F67" s="71" t="s">
        <v>430</v>
      </c>
      <c r="G67" s="51" t="s">
        <v>431</v>
      </c>
      <c r="H67" s="51" t="s">
        <v>784</v>
      </c>
      <c r="I67" s="74"/>
      <c r="J67" s="72"/>
      <c r="K67" s="32" t="s">
        <v>161</v>
      </c>
      <c r="L67" s="32">
        <v>0</v>
      </c>
      <c r="M67" s="88" t="s">
        <v>296</v>
      </c>
      <c r="N67" s="193" t="s">
        <v>160</v>
      </c>
      <c r="O67" s="193" t="s">
        <v>160</v>
      </c>
      <c r="P67" s="316" t="s">
        <v>160</v>
      </c>
      <c r="Q67" s="316" t="s">
        <v>160</v>
      </c>
      <c r="R67" s="288" t="s">
        <v>160</v>
      </c>
      <c r="S67" s="289" t="s">
        <v>160</v>
      </c>
      <c r="T67" s="155" t="s">
        <v>635</v>
      </c>
      <c r="U67" s="5" t="s">
        <v>635</v>
      </c>
      <c r="V67" s="5" t="s">
        <v>642</v>
      </c>
      <c r="W67" s="5" t="s">
        <v>642</v>
      </c>
    </row>
    <row r="68" spans="1:23" ht="24">
      <c r="A68" s="157">
        <v>67</v>
      </c>
      <c r="B68" s="75"/>
      <c r="C68" s="75"/>
      <c r="D68" s="78">
        <v>762</v>
      </c>
      <c r="E68" s="78" t="s">
        <v>433</v>
      </c>
      <c r="F68" s="71" t="s">
        <v>434</v>
      </c>
      <c r="G68" s="51" t="s">
        <v>435</v>
      </c>
      <c r="H68" s="51" t="s">
        <v>436</v>
      </c>
      <c r="I68" s="74"/>
      <c r="J68" s="5"/>
      <c r="K68" s="32" t="s">
        <v>161</v>
      </c>
      <c r="L68" s="32">
        <v>0</v>
      </c>
      <c r="M68" s="88" t="s">
        <v>150</v>
      </c>
      <c r="N68" s="193" t="s">
        <v>160</v>
      </c>
      <c r="O68" s="193" t="s">
        <v>160</v>
      </c>
      <c r="P68" s="316" t="s">
        <v>160</v>
      </c>
      <c r="Q68" s="316" t="s">
        <v>160</v>
      </c>
      <c r="R68" s="288" t="s">
        <v>160</v>
      </c>
      <c r="S68" s="289" t="s">
        <v>160</v>
      </c>
      <c r="T68" s="5" t="s">
        <v>635</v>
      </c>
      <c r="U68" s="5" t="s">
        <v>635</v>
      </c>
      <c r="V68" s="5"/>
      <c r="W68" s="5"/>
    </row>
    <row r="69" spans="1:23" ht="48">
      <c r="A69" s="157">
        <v>68</v>
      </c>
      <c r="B69" s="75"/>
      <c r="C69" s="75"/>
      <c r="D69" s="78">
        <v>777</v>
      </c>
      <c r="E69" s="78" t="s">
        <v>437</v>
      </c>
      <c r="F69" s="71" t="s">
        <v>438</v>
      </c>
      <c r="G69" s="51" t="s">
        <v>439</v>
      </c>
      <c r="H69" s="51" t="s">
        <v>440</v>
      </c>
      <c r="I69" s="74"/>
      <c r="J69" s="5" t="s">
        <v>441</v>
      </c>
      <c r="K69" s="32"/>
      <c r="L69" s="32">
        <v>0</v>
      </c>
      <c r="M69" s="88" t="s">
        <v>150</v>
      </c>
      <c r="N69" s="193" t="s">
        <v>160</v>
      </c>
      <c r="O69" s="193" t="s">
        <v>160</v>
      </c>
      <c r="P69" s="316" t="s">
        <v>160</v>
      </c>
      <c r="Q69" s="316" t="s">
        <v>160</v>
      </c>
      <c r="R69" s="288" t="s">
        <v>160</v>
      </c>
      <c r="S69" s="289" t="s">
        <v>160</v>
      </c>
      <c r="T69" s="5" t="s">
        <v>635</v>
      </c>
      <c r="U69" s="5" t="s">
        <v>635</v>
      </c>
      <c r="V69" s="5"/>
      <c r="W69" s="74"/>
    </row>
    <row r="70" spans="1:23" ht="24">
      <c r="A70" s="157">
        <v>69</v>
      </c>
      <c r="B70" s="101"/>
      <c r="C70" s="101"/>
      <c r="D70" s="103">
        <v>781</v>
      </c>
      <c r="E70" s="103" t="s">
        <v>27</v>
      </c>
      <c r="F70" s="93"/>
      <c r="G70" s="106" t="s">
        <v>442</v>
      </c>
      <c r="H70" s="106" t="s">
        <v>159</v>
      </c>
      <c r="I70" s="99"/>
      <c r="J70" s="94"/>
      <c r="K70" s="146" t="s">
        <v>161</v>
      </c>
      <c r="L70" s="146">
        <v>0</v>
      </c>
      <c r="M70" s="98"/>
      <c r="N70" s="112" t="s">
        <v>242</v>
      </c>
      <c r="O70" s="112" t="s">
        <v>160</v>
      </c>
      <c r="P70" s="315" t="s">
        <v>160</v>
      </c>
      <c r="Q70" s="315" t="s">
        <v>160</v>
      </c>
      <c r="R70" s="286" t="s">
        <v>160</v>
      </c>
      <c r="S70" s="287" t="s">
        <v>160</v>
      </c>
      <c r="T70" s="112" t="s">
        <v>635</v>
      </c>
      <c r="U70" s="112" t="s">
        <v>635</v>
      </c>
      <c r="V70" s="112"/>
      <c r="W70" s="99"/>
    </row>
    <row r="71" spans="1:23" ht="24">
      <c r="A71" s="157">
        <v>70</v>
      </c>
      <c r="B71" s="101"/>
      <c r="C71" s="101"/>
      <c r="D71" s="103">
        <v>782</v>
      </c>
      <c r="E71" s="103" t="s">
        <v>27</v>
      </c>
      <c r="F71" s="93"/>
      <c r="G71" s="106" t="s">
        <v>443</v>
      </c>
      <c r="H71" s="106" t="s">
        <v>159</v>
      </c>
      <c r="I71" s="99"/>
      <c r="J71" s="94"/>
      <c r="K71" s="146" t="s">
        <v>161</v>
      </c>
      <c r="L71" s="146">
        <v>0</v>
      </c>
      <c r="M71" s="98"/>
      <c r="N71" s="112" t="s">
        <v>242</v>
      </c>
      <c r="O71" s="112" t="s">
        <v>160</v>
      </c>
      <c r="P71" s="315" t="s">
        <v>160</v>
      </c>
      <c r="Q71" s="315" t="s">
        <v>160</v>
      </c>
      <c r="R71" s="286" t="s">
        <v>160</v>
      </c>
      <c r="S71" s="287" t="s">
        <v>160</v>
      </c>
      <c r="T71" s="112" t="s">
        <v>635</v>
      </c>
      <c r="U71" s="112" t="s">
        <v>635</v>
      </c>
      <c r="V71" s="112"/>
      <c r="W71" s="99"/>
    </row>
    <row r="72" spans="1:23" ht="120">
      <c r="A72" s="157">
        <v>71</v>
      </c>
      <c r="B72" s="101"/>
      <c r="C72" s="101"/>
      <c r="D72" s="103">
        <v>783</v>
      </c>
      <c r="E72" s="103" t="s">
        <v>260</v>
      </c>
      <c r="F72" s="93"/>
      <c r="G72" s="105" t="s">
        <v>444</v>
      </c>
      <c r="H72" s="113" t="s">
        <v>445</v>
      </c>
      <c r="I72" s="95"/>
      <c r="J72" s="101"/>
      <c r="K72" s="92" t="s">
        <v>161</v>
      </c>
      <c r="L72" s="103">
        <v>0</v>
      </c>
      <c r="M72" s="110"/>
      <c r="N72" s="122" t="s">
        <v>160</v>
      </c>
      <c r="O72" s="122" t="s">
        <v>160</v>
      </c>
      <c r="P72" s="320" t="s">
        <v>160</v>
      </c>
      <c r="Q72" s="320" t="s">
        <v>160</v>
      </c>
      <c r="R72" s="295" t="s">
        <v>160</v>
      </c>
      <c r="S72" s="296" t="s">
        <v>160</v>
      </c>
      <c r="T72" s="122" t="s">
        <v>143</v>
      </c>
      <c r="U72" s="122" t="s">
        <v>143</v>
      </c>
      <c r="V72" s="122" t="s">
        <v>642</v>
      </c>
      <c r="W72" s="122" t="s">
        <v>642</v>
      </c>
    </row>
    <row r="73" spans="1:23" ht="120">
      <c r="A73" s="157">
        <v>72</v>
      </c>
      <c r="B73" s="101"/>
      <c r="C73" s="101"/>
      <c r="D73" s="103">
        <v>807</v>
      </c>
      <c r="E73" s="103" t="s">
        <v>260</v>
      </c>
      <c r="F73" s="93"/>
      <c r="G73" s="105" t="s">
        <v>446</v>
      </c>
      <c r="H73" s="113" t="s">
        <v>445</v>
      </c>
      <c r="I73" s="95"/>
      <c r="J73" s="101"/>
      <c r="K73" s="92" t="s">
        <v>161</v>
      </c>
      <c r="L73" s="103">
        <v>0</v>
      </c>
      <c r="M73" s="110"/>
      <c r="N73" s="122" t="s">
        <v>160</v>
      </c>
      <c r="O73" s="122" t="s">
        <v>160</v>
      </c>
      <c r="P73" s="320" t="s">
        <v>160</v>
      </c>
      <c r="Q73" s="320" t="s">
        <v>160</v>
      </c>
      <c r="R73" s="295" t="s">
        <v>160</v>
      </c>
      <c r="S73" s="296" t="s">
        <v>160</v>
      </c>
      <c r="T73" s="122" t="s">
        <v>143</v>
      </c>
      <c r="U73" s="122" t="s">
        <v>143</v>
      </c>
      <c r="V73" s="122"/>
      <c r="W73" s="100"/>
    </row>
    <row r="74" spans="1:23" ht="24">
      <c r="A74" s="157">
        <v>73</v>
      </c>
      <c r="B74" s="101"/>
      <c r="C74" s="101"/>
      <c r="D74" s="103">
        <v>831</v>
      </c>
      <c r="E74" s="103" t="s">
        <v>447</v>
      </c>
      <c r="F74" s="93"/>
      <c r="G74" s="137" t="s">
        <v>448</v>
      </c>
      <c r="H74" s="105" t="s">
        <v>449</v>
      </c>
      <c r="I74" s="99"/>
      <c r="J74" s="94"/>
      <c r="K74" s="103" t="s">
        <v>58</v>
      </c>
      <c r="L74" s="103">
        <v>0</v>
      </c>
      <c r="M74" s="98"/>
      <c r="N74" s="112" t="s">
        <v>450</v>
      </c>
      <c r="O74" s="112" t="s">
        <v>285</v>
      </c>
      <c r="P74" s="315" t="s">
        <v>285</v>
      </c>
      <c r="Q74" s="315" t="s">
        <v>285</v>
      </c>
      <c r="R74" s="288" t="s">
        <v>285</v>
      </c>
      <c r="S74" s="289" t="s">
        <v>285</v>
      </c>
      <c r="T74" s="112" t="s">
        <v>785</v>
      </c>
      <c r="U74" s="112" t="s">
        <v>785</v>
      </c>
      <c r="V74" s="112"/>
      <c r="W74" s="99"/>
    </row>
    <row r="75" spans="1:23" ht="48">
      <c r="A75" s="157">
        <v>74</v>
      </c>
      <c r="B75" s="101"/>
      <c r="C75" s="101"/>
      <c r="D75" s="103">
        <v>839</v>
      </c>
      <c r="E75" s="103" t="s">
        <v>447</v>
      </c>
      <c r="F75" s="93"/>
      <c r="G75" s="137" t="s">
        <v>452</v>
      </c>
      <c r="H75" s="105" t="s">
        <v>453</v>
      </c>
      <c r="I75" s="99"/>
      <c r="J75" s="94"/>
      <c r="K75" s="103" t="s">
        <v>58</v>
      </c>
      <c r="L75" s="103">
        <v>0</v>
      </c>
      <c r="M75" s="98"/>
      <c r="N75" s="112" t="s">
        <v>285</v>
      </c>
      <c r="O75" s="112" t="s">
        <v>285</v>
      </c>
      <c r="P75" s="315" t="s">
        <v>285</v>
      </c>
      <c r="Q75" s="315" t="s">
        <v>285</v>
      </c>
      <c r="R75" s="288" t="s">
        <v>285</v>
      </c>
      <c r="S75" s="289" t="s">
        <v>285</v>
      </c>
      <c r="T75" s="112" t="s">
        <v>785</v>
      </c>
      <c r="U75" s="112" t="s">
        <v>785</v>
      </c>
      <c r="V75" s="112"/>
      <c r="W75" s="99"/>
    </row>
    <row r="76" spans="1:23" ht="240">
      <c r="A76" s="157">
        <v>75</v>
      </c>
      <c r="B76" s="70"/>
      <c r="C76" s="70"/>
      <c r="D76" s="32">
        <v>847</v>
      </c>
      <c r="E76" s="32" t="s">
        <v>454</v>
      </c>
      <c r="F76" s="71" t="s">
        <v>455</v>
      </c>
      <c r="G76" s="51" t="s">
        <v>456</v>
      </c>
      <c r="H76" s="51" t="s">
        <v>786</v>
      </c>
      <c r="I76" s="51"/>
      <c r="J76" s="74" t="s">
        <v>787</v>
      </c>
      <c r="K76" s="32" t="s">
        <v>161</v>
      </c>
      <c r="L76" s="32">
        <v>1</v>
      </c>
      <c r="M76" s="88" t="s">
        <v>150</v>
      </c>
      <c r="N76" s="284" t="s">
        <v>788</v>
      </c>
      <c r="O76" s="285" t="s">
        <v>789</v>
      </c>
      <c r="P76" s="284" t="s">
        <v>839</v>
      </c>
      <c r="Q76" s="285" t="s">
        <v>838</v>
      </c>
      <c r="R76" s="284" t="s">
        <v>788</v>
      </c>
      <c r="S76" s="285" t="s">
        <v>789</v>
      </c>
      <c r="T76" s="5" t="s">
        <v>790</v>
      </c>
      <c r="U76" s="5" t="s">
        <v>791</v>
      </c>
      <c r="V76" s="150" t="s">
        <v>642</v>
      </c>
      <c r="W76" s="159" t="s">
        <v>792</v>
      </c>
    </row>
    <row r="77" spans="1:23" ht="276">
      <c r="A77" s="157">
        <v>76</v>
      </c>
      <c r="B77" s="75"/>
      <c r="C77" s="75"/>
      <c r="D77" s="32">
        <v>848</v>
      </c>
      <c r="E77" s="32" t="s">
        <v>454</v>
      </c>
      <c r="F77" s="71" t="s">
        <v>462</v>
      </c>
      <c r="G77" s="51" t="s">
        <v>463</v>
      </c>
      <c r="H77" s="51" t="s">
        <v>464</v>
      </c>
      <c r="I77" s="74"/>
      <c r="J77" s="5" t="s">
        <v>793</v>
      </c>
      <c r="K77" s="32" t="s">
        <v>161</v>
      </c>
      <c r="L77" s="32">
        <v>1</v>
      </c>
      <c r="M77" s="88" t="s">
        <v>150</v>
      </c>
      <c r="N77" s="284" t="s">
        <v>794</v>
      </c>
      <c r="O77" s="285" t="s">
        <v>795</v>
      </c>
      <c r="P77" s="284" t="s">
        <v>794</v>
      </c>
      <c r="Q77" s="285" t="s">
        <v>795</v>
      </c>
      <c r="R77" s="284" t="s">
        <v>794</v>
      </c>
      <c r="S77" s="285" t="s">
        <v>795</v>
      </c>
      <c r="T77" s="5" t="s">
        <v>796</v>
      </c>
      <c r="U77" s="5" t="s">
        <v>797</v>
      </c>
      <c r="V77" s="150" t="s">
        <v>798</v>
      </c>
      <c r="W77" s="159" t="s">
        <v>642</v>
      </c>
    </row>
    <row r="78" spans="1:23" ht="312">
      <c r="A78" s="157">
        <v>77</v>
      </c>
      <c r="B78" s="70"/>
      <c r="C78" s="70"/>
      <c r="D78" s="32">
        <v>849</v>
      </c>
      <c r="E78" s="32" t="s">
        <v>454</v>
      </c>
      <c r="F78" s="41" t="s">
        <v>799</v>
      </c>
      <c r="G78" s="51" t="s">
        <v>471</v>
      </c>
      <c r="H78" s="51" t="s">
        <v>800</v>
      </c>
      <c r="I78" s="74"/>
      <c r="J78" s="5" t="s">
        <v>801</v>
      </c>
      <c r="K78" s="32"/>
      <c r="L78" s="32">
        <v>1</v>
      </c>
      <c r="M78" s="88" t="s">
        <v>150</v>
      </c>
      <c r="N78" s="301" t="s">
        <v>831</v>
      </c>
      <c r="O78" s="302" t="s">
        <v>831</v>
      </c>
      <c r="P78" s="319" t="s">
        <v>837</v>
      </c>
      <c r="Q78" s="318" t="s">
        <v>837</v>
      </c>
      <c r="R78" s="297" t="s">
        <v>802</v>
      </c>
      <c r="S78" s="298" t="s">
        <v>803</v>
      </c>
      <c r="T78" s="114" t="s">
        <v>804</v>
      </c>
      <c r="U78" s="75" t="s">
        <v>168</v>
      </c>
      <c r="V78" s="150" t="s">
        <v>805</v>
      </c>
      <c r="W78" s="159" t="s">
        <v>642</v>
      </c>
    </row>
    <row r="79" spans="1:23" ht="204">
      <c r="A79" s="157">
        <v>78</v>
      </c>
      <c r="B79" s="70"/>
      <c r="C79" s="70"/>
      <c r="D79" s="32">
        <v>850</v>
      </c>
      <c r="E79" s="32" t="s">
        <v>454</v>
      </c>
      <c r="F79" s="71" t="s">
        <v>476</v>
      </c>
      <c r="G79" s="51" t="s">
        <v>477</v>
      </c>
      <c r="H79" s="51" t="s">
        <v>806</v>
      </c>
      <c r="I79" s="74"/>
      <c r="J79" s="5" t="s">
        <v>807</v>
      </c>
      <c r="K79" s="80"/>
      <c r="L79" s="32">
        <v>0</v>
      </c>
      <c r="M79" s="88" t="s">
        <v>150</v>
      </c>
      <c r="N79" s="191" t="s">
        <v>160</v>
      </c>
      <c r="O79" s="191" t="s">
        <v>480</v>
      </c>
      <c r="P79" s="317" t="s">
        <v>160</v>
      </c>
      <c r="Q79" s="317" t="s">
        <v>480</v>
      </c>
      <c r="R79" s="282" t="s">
        <v>160</v>
      </c>
      <c r="S79" s="283" t="s">
        <v>480</v>
      </c>
      <c r="T79" s="74" t="s">
        <v>635</v>
      </c>
      <c r="U79" s="74" t="s">
        <v>635</v>
      </c>
      <c r="V79" s="150" t="s">
        <v>642</v>
      </c>
      <c r="W79" s="159" t="s">
        <v>642</v>
      </c>
    </row>
    <row r="80" spans="1:23">
      <c r="A80" s="157">
        <v>79</v>
      </c>
      <c r="B80" s="101"/>
      <c r="C80" s="101"/>
      <c r="D80" s="103">
        <v>851</v>
      </c>
      <c r="E80" s="103" t="s">
        <v>27</v>
      </c>
      <c r="F80" s="93"/>
      <c r="G80" s="106" t="s">
        <v>481</v>
      </c>
      <c r="H80" s="105" t="s">
        <v>159</v>
      </c>
      <c r="I80" s="99"/>
      <c r="J80" s="112"/>
      <c r="K80" s="139"/>
      <c r="L80" s="146">
        <v>0</v>
      </c>
      <c r="M80" s="98"/>
      <c r="N80" s="192" t="s">
        <v>160</v>
      </c>
      <c r="O80" s="192" t="s">
        <v>160</v>
      </c>
      <c r="P80" s="314" t="s">
        <v>160</v>
      </c>
      <c r="Q80" s="314" t="s">
        <v>160</v>
      </c>
      <c r="R80" s="278" t="s">
        <v>160</v>
      </c>
      <c r="S80" s="279" t="s">
        <v>160</v>
      </c>
      <c r="T80" s="99" t="s">
        <v>635</v>
      </c>
      <c r="U80" s="99" t="s">
        <v>635</v>
      </c>
      <c r="V80" s="99"/>
      <c r="W80" s="105"/>
    </row>
    <row r="81" spans="1:23" ht="126.75" customHeight="1">
      <c r="A81" s="157">
        <v>80</v>
      </c>
      <c r="B81" s="101"/>
      <c r="C81" s="101"/>
      <c r="D81" s="103">
        <v>852</v>
      </c>
      <c r="E81" s="103" t="s">
        <v>162</v>
      </c>
      <c r="F81" s="93"/>
      <c r="G81" s="105" t="s">
        <v>482</v>
      </c>
      <c r="H81" s="105" t="s">
        <v>483</v>
      </c>
      <c r="I81" s="95"/>
      <c r="J81" s="101"/>
      <c r="K81" s="99"/>
      <c r="L81" s="173">
        <v>0</v>
      </c>
      <c r="M81" s="110"/>
      <c r="N81" s="192" t="s">
        <v>160</v>
      </c>
      <c r="O81" s="192" t="s">
        <v>160</v>
      </c>
      <c r="P81" s="314" t="s">
        <v>160</v>
      </c>
      <c r="Q81" s="314" t="s">
        <v>160</v>
      </c>
      <c r="R81" s="278" t="s">
        <v>160</v>
      </c>
      <c r="S81" s="279" t="s">
        <v>160</v>
      </c>
      <c r="T81" s="99" t="s">
        <v>635</v>
      </c>
      <c r="U81" s="99" t="s">
        <v>635</v>
      </c>
      <c r="V81" s="100" t="s">
        <v>642</v>
      </c>
      <c r="W81" s="100" t="s">
        <v>642</v>
      </c>
    </row>
    <row r="82" spans="1:23" ht="158.25" customHeight="1">
      <c r="A82" s="157">
        <v>81</v>
      </c>
      <c r="B82" s="100"/>
      <c r="C82" s="100"/>
      <c r="D82" s="103">
        <v>857</v>
      </c>
      <c r="E82" s="103" t="s">
        <v>484</v>
      </c>
      <c r="F82" s="93"/>
      <c r="G82" s="105" t="s">
        <v>485</v>
      </c>
      <c r="H82" s="105" t="s">
        <v>483</v>
      </c>
      <c r="I82" s="141"/>
      <c r="J82" s="101"/>
      <c r="K82" s="103" t="s">
        <v>2</v>
      </c>
      <c r="L82" s="103">
        <v>0</v>
      </c>
      <c r="M82" s="110"/>
      <c r="N82" s="192" t="s">
        <v>160</v>
      </c>
      <c r="O82" s="192" t="s">
        <v>160</v>
      </c>
      <c r="P82" s="314" t="s">
        <v>160</v>
      </c>
      <c r="Q82" s="314" t="s">
        <v>160</v>
      </c>
      <c r="R82" s="278" t="s">
        <v>160</v>
      </c>
      <c r="S82" s="279" t="s">
        <v>160</v>
      </c>
      <c r="T82" s="99" t="s">
        <v>635</v>
      </c>
      <c r="U82" s="99" t="s">
        <v>635</v>
      </c>
      <c r="V82" s="100" t="s">
        <v>642</v>
      </c>
      <c r="W82" s="100" t="s">
        <v>642</v>
      </c>
    </row>
    <row r="83" spans="1:23" ht="158.25" customHeight="1">
      <c r="A83" s="157">
        <v>82</v>
      </c>
      <c r="B83" s="100"/>
      <c r="C83" s="100"/>
      <c r="D83" s="103">
        <v>869</v>
      </c>
      <c r="E83" s="103" t="s">
        <v>286</v>
      </c>
      <c r="F83" s="93"/>
      <c r="G83" s="106" t="s">
        <v>486</v>
      </c>
      <c r="H83" s="105" t="s">
        <v>159</v>
      </c>
      <c r="I83" s="141"/>
      <c r="J83" s="101"/>
      <c r="K83" s="103"/>
      <c r="L83" s="103">
        <v>0</v>
      </c>
      <c r="M83" s="110"/>
      <c r="N83" s="192" t="s">
        <v>160</v>
      </c>
      <c r="O83" s="192" t="s">
        <v>160</v>
      </c>
      <c r="P83" s="314" t="s">
        <v>160</v>
      </c>
      <c r="Q83" s="314" t="s">
        <v>160</v>
      </c>
      <c r="R83" s="278" t="s">
        <v>160</v>
      </c>
      <c r="S83" s="279" t="s">
        <v>160</v>
      </c>
      <c r="T83" s="122" t="s">
        <v>635</v>
      </c>
      <c r="U83" s="122" t="s">
        <v>635</v>
      </c>
      <c r="V83" s="122"/>
      <c r="W83" s="100"/>
    </row>
    <row r="84" spans="1:23" ht="168">
      <c r="A84" s="157">
        <v>83</v>
      </c>
      <c r="B84" s="38" t="s">
        <v>2</v>
      </c>
      <c r="C84" s="38"/>
      <c r="D84" s="32">
        <v>873</v>
      </c>
      <c r="E84" s="32">
        <v>9</v>
      </c>
      <c r="F84" s="82"/>
      <c r="G84" s="51" t="s">
        <v>487</v>
      </c>
      <c r="H84" s="51" t="s">
        <v>488</v>
      </c>
      <c r="I84" s="51"/>
      <c r="J84" s="90"/>
      <c r="K84" s="32" t="s">
        <v>52</v>
      </c>
      <c r="L84" s="32">
        <v>1</v>
      </c>
      <c r="M84" s="86" t="s">
        <v>150</v>
      </c>
      <c r="N84" s="73" t="s">
        <v>489</v>
      </c>
      <c r="O84" s="73" t="s">
        <v>489</v>
      </c>
      <c r="P84" s="168" t="s">
        <v>489</v>
      </c>
      <c r="Q84" s="168" t="s">
        <v>489</v>
      </c>
      <c r="R84" s="284" t="s">
        <v>489</v>
      </c>
      <c r="S84" s="285" t="s">
        <v>489</v>
      </c>
      <c r="T84" s="73" t="s">
        <v>808</v>
      </c>
      <c r="U84" s="73" t="s">
        <v>808</v>
      </c>
      <c r="V84" s="150" t="s">
        <v>809</v>
      </c>
      <c r="W84" s="159" t="s">
        <v>809</v>
      </c>
    </row>
    <row r="85" spans="1:23" ht="24">
      <c r="A85" s="157">
        <v>84</v>
      </c>
      <c r="B85" s="102"/>
      <c r="C85" s="102"/>
      <c r="D85" s="103">
        <v>874</v>
      </c>
      <c r="E85" s="103" t="s">
        <v>490</v>
      </c>
      <c r="F85" s="104"/>
      <c r="G85" s="105" t="s">
        <v>491</v>
      </c>
      <c r="H85" s="105" t="s">
        <v>492</v>
      </c>
      <c r="I85" s="105"/>
      <c r="J85" s="109"/>
      <c r="K85" s="103" t="s">
        <v>58</v>
      </c>
      <c r="L85" s="103">
        <v>0</v>
      </c>
      <c r="M85" s="108" t="s">
        <v>2</v>
      </c>
      <c r="N85" s="85" t="s">
        <v>174</v>
      </c>
      <c r="O85" s="85" t="s">
        <v>174</v>
      </c>
      <c r="P85" s="314" t="s">
        <v>174</v>
      </c>
      <c r="Q85" s="314" t="s">
        <v>174</v>
      </c>
      <c r="R85" s="278" t="s">
        <v>174</v>
      </c>
      <c r="S85" s="279" t="s">
        <v>174</v>
      </c>
      <c r="T85" s="85" t="s">
        <v>641</v>
      </c>
      <c r="U85" s="85" t="s">
        <v>641</v>
      </c>
      <c r="V85" s="152" t="s">
        <v>810</v>
      </c>
      <c r="W85" s="160" t="s">
        <v>810</v>
      </c>
    </row>
    <row r="86" spans="1:23" ht="130.5" customHeight="1">
      <c r="A86" s="157">
        <v>85</v>
      </c>
      <c r="B86" s="101"/>
      <c r="C86" s="101"/>
      <c r="D86" s="103">
        <v>879</v>
      </c>
      <c r="E86" s="103" t="s">
        <v>145</v>
      </c>
      <c r="F86" s="93"/>
      <c r="G86" s="105" t="s">
        <v>493</v>
      </c>
      <c r="H86" s="105" t="s">
        <v>494</v>
      </c>
      <c r="I86" s="99"/>
      <c r="J86" s="94"/>
      <c r="K86" s="92" t="s">
        <v>2</v>
      </c>
      <c r="L86" s="103">
        <v>0</v>
      </c>
      <c r="M86" s="98"/>
      <c r="N86" s="99" t="s">
        <v>160</v>
      </c>
      <c r="O86" s="99" t="s">
        <v>160</v>
      </c>
      <c r="P86" s="314" t="s">
        <v>160</v>
      </c>
      <c r="Q86" s="314" t="s">
        <v>160</v>
      </c>
      <c r="R86" s="278" t="s">
        <v>160</v>
      </c>
      <c r="S86" s="279" t="s">
        <v>160</v>
      </c>
      <c r="T86" s="99" t="s">
        <v>143</v>
      </c>
      <c r="U86" s="99" t="s">
        <v>143</v>
      </c>
      <c r="V86" s="99"/>
      <c r="W86" s="99"/>
    </row>
    <row r="87" spans="1:23" ht="77.25" customHeight="1">
      <c r="A87" s="157">
        <v>86</v>
      </c>
      <c r="B87" s="101"/>
      <c r="C87" s="101"/>
      <c r="D87" s="103">
        <v>888</v>
      </c>
      <c r="E87" s="103" t="s">
        <v>145</v>
      </c>
      <c r="F87" s="93"/>
      <c r="G87" s="105" t="s">
        <v>495</v>
      </c>
      <c r="H87" s="111" t="s">
        <v>811</v>
      </c>
      <c r="I87" s="99"/>
      <c r="J87" s="94"/>
      <c r="K87" s="92"/>
      <c r="L87" s="103">
        <v>0</v>
      </c>
      <c r="M87" s="98"/>
      <c r="N87" s="99" t="s">
        <v>160</v>
      </c>
      <c r="O87" s="99" t="s">
        <v>160</v>
      </c>
      <c r="P87" s="314" t="s">
        <v>160</v>
      </c>
      <c r="Q87" s="314" t="s">
        <v>160</v>
      </c>
      <c r="R87" s="278" t="s">
        <v>160</v>
      </c>
      <c r="S87" s="279" t="s">
        <v>160</v>
      </c>
      <c r="T87" s="99" t="s">
        <v>143</v>
      </c>
      <c r="U87" s="99" t="s">
        <v>143</v>
      </c>
      <c r="V87" s="99" t="s">
        <v>642</v>
      </c>
      <c r="W87" s="99" t="s">
        <v>642</v>
      </c>
    </row>
    <row r="88" spans="1:23" ht="76.5" customHeight="1">
      <c r="A88" s="157">
        <v>87</v>
      </c>
      <c r="B88" s="101"/>
      <c r="C88" s="101"/>
      <c r="D88" s="103">
        <v>897</v>
      </c>
      <c r="E88" s="103" t="s">
        <v>27</v>
      </c>
      <c r="F88" s="93"/>
      <c r="G88" s="105" t="s">
        <v>497</v>
      </c>
      <c r="H88" s="105" t="s">
        <v>494</v>
      </c>
      <c r="I88" s="99"/>
      <c r="J88" s="94"/>
      <c r="K88" s="92" t="s">
        <v>2</v>
      </c>
      <c r="L88" s="103">
        <v>0</v>
      </c>
      <c r="M88" s="98"/>
      <c r="N88" s="112" t="s">
        <v>242</v>
      </c>
      <c r="O88" s="112" t="s">
        <v>160</v>
      </c>
      <c r="P88" s="315" t="s">
        <v>160</v>
      </c>
      <c r="Q88" s="315" t="s">
        <v>160</v>
      </c>
      <c r="R88" s="286" t="s">
        <v>160</v>
      </c>
      <c r="S88" s="287" t="s">
        <v>160</v>
      </c>
      <c r="T88" s="112" t="s">
        <v>635</v>
      </c>
      <c r="U88" s="112" t="s">
        <v>635</v>
      </c>
      <c r="V88" s="99" t="s">
        <v>642</v>
      </c>
      <c r="W88" s="99" t="s">
        <v>642</v>
      </c>
    </row>
    <row r="89" spans="1:23" ht="168">
      <c r="A89" s="157">
        <v>88</v>
      </c>
      <c r="B89" s="38"/>
      <c r="C89" s="38"/>
      <c r="D89" s="32">
        <v>898</v>
      </c>
      <c r="E89" s="32" t="s">
        <v>170</v>
      </c>
      <c r="F89" s="81" t="s">
        <v>498</v>
      </c>
      <c r="G89" s="51" t="s">
        <v>499</v>
      </c>
      <c r="H89" s="51" t="s">
        <v>500</v>
      </c>
      <c r="I89" s="51"/>
      <c r="J89" s="91" t="s">
        <v>812</v>
      </c>
      <c r="K89" s="32" t="s">
        <v>161</v>
      </c>
      <c r="L89" s="32">
        <v>1</v>
      </c>
      <c r="M89" s="86" t="s">
        <v>150</v>
      </c>
      <c r="N89" s="194" t="s">
        <v>502</v>
      </c>
      <c r="O89" s="194" t="s">
        <v>502</v>
      </c>
      <c r="P89" s="317" t="s">
        <v>813</v>
      </c>
      <c r="Q89" s="317" t="s">
        <v>813</v>
      </c>
      <c r="R89" s="282" t="s">
        <v>813</v>
      </c>
      <c r="S89" s="283" t="s">
        <v>813</v>
      </c>
      <c r="T89" s="51" t="s">
        <v>502</v>
      </c>
      <c r="U89" s="51" t="s">
        <v>502</v>
      </c>
      <c r="V89" s="153" t="s">
        <v>642</v>
      </c>
      <c r="W89" s="159" t="s">
        <v>642</v>
      </c>
    </row>
    <row r="90" spans="1:23" ht="38.25" customHeight="1">
      <c r="A90" s="157">
        <v>89</v>
      </c>
      <c r="B90" s="70"/>
      <c r="C90" s="70"/>
      <c r="D90" s="32">
        <v>900</v>
      </c>
      <c r="E90" s="32" t="s">
        <v>27</v>
      </c>
      <c r="F90" s="71" t="s">
        <v>503</v>
      </c>
      <c r="G90" s="51" t="s">
        <v>504</v>
      </c>
      <c r="H90" s="51" t="s">
        <v>505</v>
      </c>
      <c r="I90" s="74"/>
      <c r="J90" s="72"/>
      <c r="K90" s="80"/>
      <c r="L90" s="32">
        <v>0</v>
      </c>
      <c r="M90" s="88" t="s">
        <v>150</v>
      </c>
      <c r="N90" s="194" t="s">
        <v>506</v>
      </c>
      <c r="O90" s="194" t="s">
        <v>506</v>
      </c>
      <c r="P90" s="317" t="s">
        <v>813</v>
      </c>
      <c r="Q90" s="317" t="s">
        <v>813</v>
      </c>
      <c r="R90" s="282" t="s">
        <v>813</v>
      </c>
      <c r="S90" s="283" t="s">
        <v>813</v>
      </c>
      <c r="T90" s="74" t="s">
        <v>635</v>
      </c>
      <c r="U90" s="74" t="s">
        <v>635</v>
      </c>
      <c r="V90" s="74" t="s">
        <v>642</v>
      </c>
      <c r="W90" s="74" t="s">
        <v>642</v>
      </c>
    </row>
    <row r="91" spans="1:23" ht="84">
      <c r="A91" s="157">
        <v>90</v>
      </c>
      <c r="B91" s="70"/>
      <c r="C91" s="70"/>
      <c r="D91" s="78">
        <v>901</v>
      </c>
      <c r="E91" s="144" t="s">
        <v>27</v>
      </c>
      <c r="F91" s="71" t="s">
        <v>507</v>
      </c>
      <c r="G91" s="14" t="s">
        <v>508</v>
      </c>
      <c r="H91" s="143" t="s">
        <v>814</v>
      </c>
      <c r="I91" s="74"/>
      <c r="J91" s="5"/>
      <c r="K91" s="70" t="s">
        <v>52</v>
      </c>
      <c r="L91" s="78">
        <v>1</v>
      </c>
      <c r="M91" s="88" t="s">
        <v>150</v>
      </c>
      <c r="N91" s="5" t="s">
        <v>510</v>
      </c>
      <c r="O91" s="5" t="s">
        <v>510</v>
      </c>
      <c r="P91" s="168" t="s">
        <v>510</v>
      </c>
      <c r="Q91" s="168" t="s">
        <v>510</v>
      </c>
      <c r="R91" s="284" t="s">
        <v>510</v>
      </c>
      <c r="S91" s="285" t="s">
        <v>510</v>
      </c>
      <c r="T91" s="5" t="s">
        <v>511</v>
      </c>
      <c r="U91" s="5" t="s">
        <v>511</v>
      </c>
      <c r="V91" s="5" t="s">
        <v>815</v>
      </c>
      <c r="W91" s="5" t="s">
        <v>815</v>
      </c>
    </row>
    <row r="92" spans="1:23" ht="84">
      <c r="A92" s="157">
        <v>91</v>
      </c>
      <c r="B92" s="70"/>
      <c r="C92" s="70"/>
      <c r="D92" s="78">
        <v>902</v>
      </c>
      <c r="E92" s="125" t="s">
        <v>281</v>
      </c>
      <c r="F92" s="71" t="s">
        <v>512</v>
      </c>
      <c r="G92" s="14" t="s">
        <v>513</v>
      </c>
      <c r="H92" s="14" t="s">
        <v>816</v>
      </c>
      <c r="I92" s="74"/>
      <c r="J92" s="5"/>
      <c r="K92" s="70" t="s">
        <v>52</v>
      </c>
      <c r="L92" s="78">
        <v>1</v>
      </c>
      <c r="M92" s="88"/>
      <c r="N92" s="5" t="s">
        <v>515</v>
      </c>
      <c r="O92" s="5" t="s">
        <v>515</v>
      </c>
      <c r="P92" s="168" t="s">
        <v>515</v>
      </c>
      <c r="Q92" s="168" t="s">
        <v>515</v>
      </c>
      <c r="R92" s="284" t="s">
        <v>515</v>
      </c>
      <c r="S92" s="285" t="s">
        <v>515</v>
      </c>
      <c r="T92" s="5" t="s">
        <v>516</v>
      </c>
      <c r="U92" s="5" t="s">
        <v>516</v>
      </c>
      <c r="V92" s="5" t="s">
        <v>817</v>
      </c>
      <c r="W92" s="5" t="s">
        <v>817</v>
      </c>
    </row>
    <row r="93" spans="1:23" ht="60">
      <c r="A93" s="157">
        <v>92</v>
      </c>
      <c r="B93" s="70"/>
      <c r="C93" s="70"/>
      <c r="D93" s="78">
        <v>905</v>
      </c>
      <c r="E93" s="125" t="s">
        <v>517</v>
      </c>
      <c r="F93" s="71" t="s">
        <v>518</v>
      </c>
      <c r="G93" s="14" t="s">
        <v>519</v>
      </c>
      <c r="H93" s="14" t="s">
        <v>520</v>
      </c>
      <c r="J93" s="74" t="s">
        <v>521</v>
      </c>
      <c r="K93" s="70" t="s">
        <v>161</v>
      </c>
      <c r="L93" s="78">
        <v>1</v>
      </c>
      <c r="M93" s="88"/>
      <c r="N93" s="193" t="s">
        <v>160</v>
      </c>
      <c r="O93" s="193" t="s">
        <v>160</v>
      </c>
      <c r="P93" s="316" t="s">
        <v>160</v>
      </c>
      <c r="Q93" s="316" t="s">
        <v>160</v>
      </c>
      <c r="R93" s="288" t="s">
        <v>160</v>
      </c>
      <c r="S93" s="289" t="s">
        <v>160</v>
      </c>
      <c r="T93" s="5" t="s">
        <v>635</v>
      </c>
      <c r="U93" s="5" t="s">
        <v>635</v>
      </c>
      <c r="V93" s="5" t="s">
        <v>818</v>
      </c>
      <c r="W93" s="5" t="s">
        <v>818</v>
      </c>
    </row>
    <row r="94" spans="1:23" ht="60">
      <c r="A94" s="157">
        <v>93</v>
      </c>
      <c r="B94" s="70"/>
      <c r="C94" s="70"/>
      <c r="D94" s="78">
        <v>921</v>
      </c>
      <c r="E94" s="125" t="s">
        <v>260</v>
      </c>
      <c r="F94" s="71" t="s">
        <v>522</v>
      </c>
      <c r="G94" s="74" t="s">
        <v>523</v>
      </c>
      <c r="H94" s="14" t="s">
        <v>524</v>
      </c>
      <c r="I94" s="74"/>
      <c r="J94" s="72"/>
      <c r="K94" s="70" t="s">
        <v>161</v>
      </c>
      <c r="L94" s="78">
        <v>0</v>
      </c>
      <c r="M94" s="88"/>
      <c r="N94" s="193" t="s">
        <v>160</v>
      </c>
      <c r="O94" s="193" t="s">
        <v>160</v>
      </c>
      <c r="P94" s="316" t="s">
        <v>160</v>
      </c>
      <c r="Q94" s="316" t="s">
        <v>160</v>
      </c>
      <c r="R94" s="288" t="s">
        <v>160</v>
      </c>
      <c r="S94" s="289" t="s">
        <v>160</v>
      </c>
      <c r="T94" s="5" t="s">
        <v>635</v>
      </c>
      <c r="U94" s="5" t="s">
        <v>635</v>
      </c>
      <c r="V94" s="5" t="s">
        <v>642</v>
      </c>
      <c r="W94" s="5" t="s">
        <v>642</v>
      </c>
    </row>
    <row r="95" spans="1:23" ht="108">
      <c r="A95" s="157">
        <v>94</v>
      </c>
      <c r="B95" s="12"/>
      <c r="C95" s="12"/>
      <c r="D95" s="32">
        <v>945</v>
      </c>
      <c r="E95" s="32" t="s">
        <v>27</v>
      </c>
      <c r="F95" s="81"/>
      <c r="G95" s="51" t="s">
        <v>525</v>
      </c>
      <c r="H95" s="83" t="s">
        <v>526</v>
      </c>
      <c r="I95" s="51"/>
      <c r="J95" s="91" t="s">
        <v>527</v>
      </c>
      <c r="K95" s="32" t="s">
        <v>161</v>
      </c>
      <c r="L95" s="32">
        <v>0</v>
      </c>
      <c r="M95" s="86" t="s">
        <v>150</v>
      </c>
      <c r="N95" s="193" t="s">
        <v>160</v>
      </c>
      <c r="O95" s="193" t="s">
        <v>160</v>
      </c>
      <c r="P95" s="316" t="s">
        <v>160</v>
      </c>
      <c r="Q95" s="316" t="s">
        <v>160</v>
      </c>
      <c r="R95" s="288" t="s">
        <v>160</v>
      </c>
      <c r="S95" s="289" t="s">
        <v>160</v>
      </c>
      <c r="T95" s="4" t="s">
        <v>143</v>
      </c>
      <c r="U95" s="4" t="s">
        <v>143</v>
      </c>
      <c r="V95" s="4" t="s">
        <v>642</v>
      </c>
      <c r="W95" s="51" t="s">
        <v>642</v>
      </c>
    </row>
    <row r="96" spans="1:23" ht="36">
      <c r="A96" s="157">
        <v>95</v>
      </c>
      <c r="B96" s="102"/>
      <c r="C96" s="102"/>
      <c r="D96" s="103">
        <v>946</v>
      </c>
      <c r="E96" s="103" t="s">
        <v>528</v>
      </c>
      <c r="F96" s="104" t="s">
        <v>529</v>
      </c>
      <c r="G96" s="105" t="s">
        <v>530</v>
      </c>
      <c r="H96" s="111" t="s">
        <v>531</v>
      </c>
      <c r="I96" s="105"/>
      <c r="J96" s="106"/>
      <c r="K96" s="103" t="s">
        <v>58</v>
      </c>
      <c r="L96" s="103">
        <v>0</v>
      </c>
      <c r="M96" s="108"/>
      <c r="N96" s="85" t="s">
        <v>174</v>
      </c>
      <c r="O96" s="85" t="s">
        <v>174</v>
      </c>
      <c r="P96" s="314" t="s">
        <v>174</v>
      </c>
      <c r="Q96" s="314" t="s">
        <v>174</v>
      </c>
      <c r="R96" s="282" t="s">
        <v>174</v>
      </c>
      <c r="S96" s="283" t="s">
        <v>174</v>
      </c>
      <c r="T96" s="85" t="s">
        <v>641</v>
      </c>
      <c r="U96" s="85" t="s">
        <v>641</v>
      </c>
      <c r="V96" s="85"/>
      <c r="W96" s="105"/>
    </row>
    <row r="97" spans="1:23" ht="91.5" customHeight="1">
      <c r="A97" s="157">
        <v>96</v>
      </c>
      <c r="B97" s="101"/>
      <c r="C97" s="101"/>
      <c r="D97" s="103">
        <v>955</v>
      </c>
      <c r="E97" s="103" t="s">
        <v>27</v>
      </c>
      <c r="F97" s="93" t="s">
        <v>297</v>
      </c>
      <c r="G97" s="105" t="s">
        <v>532</v>
      </c>
      <c r="H97" s="105" t="s">
        <v>533</v>
      </c>
      <c r="I97" s="99"/>
      <c r="J97" s="112" t="s">
        <v>655</v>
      </c>
      <c r="K97" s="103"/>
      <c r="L97" s="103">
        <v>0</v>
      </c>
      <c r="M97" s="98" t="s">
        <v>150</v>
      </c>
      <c r="N97" s="112" t="s">
        <v>160</v>
      </c>
      <c r="O97" s="112" t="s">
        <v>160</v>
      </c>
      <c r="P97" s="315" t="s">
        <v>160</v>
      </c>
      <c r="Q97" s="315" t="s">
        <v>160</v>
      </c>
      <c r="R97" s="288" t="s">
        <v>160</v>
      </c>
      <c r="S97" s="289" t="s">
        <v>160</v>
      </c>
      <c r="T97" s="112" t="s">
        <v>143</v>
      </c>
      <c r="U97" s="112" t="s">
        <v>143</v>
      </c>
      <c r="V97" s="112" t="s">
        <v>642</v>
      </c>
      <c r="W97" s="112" t="s">
        <v>642</v>
      </c>
    </row>
    <row r="98" spans="1:23" ht="132">
      <c r="A98" s="157">
        <v>97</v>
      </c>
      <c r="B98" s="102"/>
      <c r="C98" s="102"/>
      <c r="D98" s="103">
        <v>956</v>
      </c>
      <c r="E98" s="103" t="s">
        <v>215</v>
      </c>
      <c r="F98" s="104"/>
      <c r="G98" s="105" t="s">
        <v>534</v>
      </c>
      <c r="H98" s="105" t="s">
        <v>819</v>
      </c>
      <c r="I98" s="105"/>
      <c r="J98" s="106" t="s">
        <v>655</v>
      </c>
      <c r="K98" s="103" t="s">
        <v>161</v>
      </c>
      <c r="L98" s="103">
        <v>0</v>
      </c>
      <c r="M98" s="108"/>
      <c r="N98" s="85" t="s">
        <v>160</v>
      </c>
      <c r="O98" s="85" t="s">
        <v>160</v>
      </c>
      <c r="P98" s="314" t="s">
        <v>160</v>
      </c>
      <c r="Q98" s="314" t="s">
        <v>160</v>
      </c>
      <c r="R98" s="282" t="s">
        <v>160</v>
      </c>
      <c r="S98" s="283" t="s">
        <v>160</v>
      </c>
      <c r="T98" s="85" t="s">
        <v>143</v>
      </c>
      <c r="U98" s="85" t="s">
        <v>143</v>
      </c>
      <c r="V98" s="152" t="s">
        <v>820</v>
      </c>
      <c r="W98" s="269" t="s">
        <v>820</v>
      </c>
    </row>
    <row r="99" spans="1:23" ht="24">
      <c r="A99" s="157">
        <v>98</v>
      </c>
      <c r="B99" s="102"/>
      <c r="C99" s="102"/>
      <c r="D99" s="103">
        <v>959</v>
      </c>
      <c r="E99" s="202" t="s">
        <v>27</v>
      </c>
      <c r="F99" s="203"/>
      <c r="G99" s="137" t="s">
        <v>536</v>
      </c>
      <c r="H99" s="137"/>
      <c r="I99" s="204" t="s">
        <v>2</v>
      </c>
      <c r="J99" s="204" t="s">
        <v>537</v>
      </c>
      <c r="K99" s="103"/>
      <c r="L99" s="103"/>
      <c r="M99" s="108"/>
      <c r="N99" s="205"/>
      <c r="O99" s="205"/>
      <c r="P99" s="314"/>
      <c r="Q99" s="314"/>
      <c r="R99" s="278" t="s">
        <v>743</v>
      </c>
      <c r="S99" s="279" t="s">
        <v>743</v>
      </c>
      <c r="T99" s="85" t="s">
        <v>160</v>
      </c>
      <c r="U99" s="85" t="s">
        <v>160</v>
      </c>
      <c r="V99" s="152"/>
      <c r="W99" s="268"/>
    </row>
    <row r="100" spans="1:23" ht="24">
      <c r="A100" s="157">
        <v>99</v>
      </c>
      <c r="B100" s="102"/>
      <c r="C100" s="102"/>
      <c r="D100" s="103">
        <v>960</v>
      </c>
      <c r="E100" s="202" t="s">
        <v>27</v>
      </c>
      <c r="F100" s="203"/>
      <c r="G100" s="137" t="s">
        <v>538</v>
      </c>
      <c r="H100" s="137"/>
      <c r="I100" s="204" t="s">
        <v>2</v>
      </c>
      <c r="J100" s="204" t="s">
        <v>539</v>
      </c>
      <c r="K100" s="264"/>
      <c r="L100" s="264"/>
      <c r="M100" s="265"/>
      <c r="N100" s="205"/>
      <c r="O100" s="205"/>
      <c r="P100" s="314"/>
      <c r="Q100" s="314"/>
      <c r="R100" s="278" t="s">
        <v>743</v>
      </c>
      <c r="S100" s="279" t="s">
        <v>743</v>
      </c>
      <c r="T100" s="266"/>
      <c r="U100" s="266"/>
      <c r="V100" s="267"/>
      <c r="W100" s="268"/>
    </row>
    <row r="101" spans="1:23" ht="24">
      <c r="A101" s="157">
        <v>100</v>
      </c>
      <c r="B101" s="12"/>
      <c r="C101" s="12"/>
      <c r="D101" s="32">
        <v>961</v>
      </c>
      <c r="E101" s="225" t="s">
        <v>423</v>
      </c>
      <c r="F101" s="237" t="s">
        <v>540</v>
      </c>
      <c r="G101" s="238" t="s">
        <v>541</v>
      </c>
      <c r="H101" s="238" t="s">
        <v>542</v>
      </c>
      <c r="I101" s="72" t="s">
        <v>2</v>
      </c>
      <c r="J101" s="260" t="s">
        <v>543</v>
      </c>
      <c r="K101" s="254"/>
      <c r="L101" s="254"/>
      <c r="M101" s="255"/>
      <c r="N101" s="216" t="s">
        <v>544</v>
      </c>
      <c r="O101" s="216" t="s">
        <v>544</v>
      </c>
      <c r="P101" s="314" t="s">
        <v>544</v>
      </c>
      <c r="Q101" s="314" t="s">
        <v>544</v>
      </c>
      <c r="R101" s="293" t="s">
        <v>743</v>
      </c>
      <c r="S101" s="294" t="s">
        <v>743</v>
      </c>
      <c r="T101" s="256"/>
      <c r="U101" s="256"/>
      <c r="V101" s="257"/>
      <c r="W101" s="270"/>
    </row>
    <row r="102" spans="1:23" ht="24">
      <c r="A102" s="157">
        <v>101</v>
      </c>
      <c r="B102" s="12"/>
      <c r="C102" s="12"/>
      <c r="D102" s="32">
        <v>964</v>
      </c>
      <c r="E102" s="217" t="s">
        <v>545</v>
      </c>
      <c r="F102" s="233" t="s">
        <v>540</v>
      </c>
      <c r="G102" s="221" t="s">
        <v>546</v>
      </c>
      <c r="H102" s="223" t="s">
        <v>547</v>
      </c>
      <c r="I102" s="234" t="s">
        <v>2</v>
      </c>
      <c r="J102" s="261" t="s">
        <v>543</v>
      </c>
      <c r="K102" s="254"/>
      <c r="L102" s="254"/>
      <c r="M102" s="255"/>
      <c r="N102" s="216" t="s">
        <v>544</v>
      </c>
      <c r="O102" s="224" t="s">
        <v>544</v>
      </c>
      <c r="P102" s="314" t="s">
        <v>544</v>
      </c>
      <c r="Q102" s="313" t="s">
        <v>544</v>
      </c>
      <c r="R102" s="255"/>
      <c r="S102" s="255"/>
      <c r="T102" s="220" t="s">
        <v>2</v>
      </c>
      <c r="U102" s="220" t="s">
        <v>2</v>
      </c>
      <c r="V102" s="257"/>
      <c r="W102" s="257"/>
    </row>
    <row r="103" spans="1:23" ht="24">
      <c r="A103" s="157">
        <v>102</v>
      </c>
      <c r="B103" s="12"/>
      <c r="C103" s="12"/>
      <c r="D103" s="32">
        <v>967</v>
      </c>
      <c r="E103" s="245" t="s">
        <v>545</v>
      </c>
      <c r="F103" s="246" t="s">
        <v>548</v>
      </c>
      <c r="G103" s="247" t="s">
        <v>549</v>
      </c>
      <c r="H103" s="247" t="s">
        <v>550</v>
      </c>
      <c r="I103" s="249" t="s">
        <v>2</v>
      </c>
      <c r="J103" s="262" t="s">
        <v>543</v>
      </c>
      <c r="K103" s="254"/>
      <c r="L103" s="254"/>
      <c r="M103" s="255"/>
      <c r="N103" s="228" t="s">
        <v>544</v>
      </c>
      <c r="O103" s="250" t="s">
        <v>544</v>
      </c>
      <c r="P103" s="312" t="s">
        <v>544</v>
      </c>
      <c r="Q103" s="311" t="s">
        <v>544</v>
      </c>
      <c r="R103" s="255"/>
      <c r="S103" s="255"/>
      <c r="T103" s="220" t="s">
        <v>2</v>
      </c>
      <c r="U103" s="220" t="s">
        <v>2</v>
      </c>
      <c r="V103" s="257"/>
      <c r="W103" s="257"/>
    </row>
    <row r="104" spans="1:23">
      <c r="A104" s="157">
        <v>103</v>
      </c>
      <c r="B104" s="75"/>
      <c r="C104" s="75"/>
      <c r="D104" s="32">
        <v>994</v>
      </c>
      <c r="E104" s="217" t="s">
        <v>551</v>
      </c>
      <c r="F104" s="233"/>
      <c r="G104" s="221" t="s">
        <v>552</v>
      </c>
      <c r="H104" s="223" t="s">
        <v>494</v>
      </c>
      <c r="I104" s="241"/>
      <c r="J104" s="263"/>
      <c r="K104" s="258" t="s">
        <v>2</v>
      </c>
      <c r="L104" s="254">
        <v>0</v>
      </c>
      <c r="M104" s="259"/>
      <c r="N104" s="259"/>
      <c r="O104" s="259"/>
      <c r="P104" s="310"/>
      <c r="Q104" s="310"/>
      <c r="R104" s="259"/>
      <c r="S104" s="259"/>
      <c r="T104" s="220" t="s">
        <v>2</v>
      </c>
      <c r="U104" s="220" t="s">
        <v>2</v>
      </c>
      <c r="V104" s="221"/>
      <c r="W104" s="223"/>
    </row>
    <row r="105" spans="1:23">
      <c r="A105" s="17"/>
      <c r="B105" s="25"/>
      <c r="C105" s="25"/>
      <c r="D105" s="19"/>
      <c r="E105" s="19"/>
      <c r="F105" s="21"/>
      <c r="G105" s="22"/>
      <c r="H105" s="22"/>
      <c r="I105" s="9"/>
      <c r="J105" s="23"/>
      <c r="K105" s="25"/>
      <c r="L105" s="25"/>
      <c r="M105" s="66"/>
      <c r="N105" s="66"/>
      <c r="O105" s="66"/>
      <c r="P105" s="66"/>
      <c r="Q105" s="66"/>
      <c r="R105" s="66"/>
      <c r="S105" s="66"/>
      <c r="T105" s="23"/>
      <c r="U105" s="23"/>
      <c r="V105" s="9"/>
      <c r="W105" s="161"/>
    </row>
    <row r="106" spans="1:23">
      <c r="A106" s="17"/>
      <c r="B106" s="8"/>
      <c r="C106" s="8"/>
      <c r="D106" s="19"/>
      <c r="E106" s="19"/>
      <c r="F106" s="21"/>
      <c r="G106" s="9"/>
      <c r="H106" s="22"/>
      <c r="I106" s="9"/>
      <c r="J106" s="23"/>
      <c r="K106" s="25"/>
      <c r="L106" s="25"/>
      <c r="M106" s="66"/>
      <c r="N106" s="66"/>
      <c r="O106" s="66"/>
      <c r="P106" s="66"/>
      <c r="Q106" s="66"/>
      <c r="R106" s="66"/>
      <c r="S106" s="66"/>
      <c r="T106" s="23"/>
      <c r="U106" s="23"/>
      <c r="V106" s="9"/>
      <c r="W106" s="161"/>
    </row>
    <row r="107" spans="1:23">
      <c r="A107" s="17"/>
      <c r="B107" s="25"/>
      <c r="C107" s="25"/>
      <c r="D107" s="19"/>
      <c r="E107" s="19"/>
      <c r="F107" s="21"/>
      <c r="G107" s="22"/>
      <c r="H107" s="22"/>
      <c r="I107" s="9"/>
      <c r="J107" s="23"/>
      <c r="K107" s="25"/>
      <c r="L107" s="25"/>
      <c r="M107" s="66"/>
      <c r="N107" s="66"/>
      <c r="O107" s="66"/>
      <c r="P107" s="66"/>
      <c r="Q107" s="66"/>
      <c r="R107" s="66"/>
      <c r="S107" s="66"/>
      <c r="T107" s="23"/>
      <c r="U107" s="23"/>
      <c r="V107" s="9"/>
      <c r="W107" s="161"/>
    </row>
    <row r="108" spans="1:23">
      <c r="A108" s="17"/>
      <c r="B108" s="8"/>
      <c r="C108" s="8"/>
      <c r="D108" s="19"/>
      <c r="E108" s="19"/>
      <c r="F108" s="21"/>
      <c r="G108" s="9"/>
      <c r="H108" s="22"/>
      <c r="I108" s="9"/>
      <c r="J108" s="23"/>
      <c r="K108" s="25"/>
      <c r="L108" s="25"/>
      <c r="M108" s="66"/>
      <c r="N108" s="66"/>
      <c r="O108" s="66"/>
      <c r="P108" s="66"/>
      <c r="Q108" s="66"/>
      <c r="R108" s="66"/>
      <c r="S108" s="66"/>
      <c r="T108" s="23"/>
      <c r="U108" s="23"/>
      <c r="V108" s="28"/>
      <c r="W108" s="161"/>
    </row>
    <row r="109" spans="1:23">
      <c r="A109" s="17"/>
      <c r="B109" s="8"/>
      <c r="C109" s="8"/>
      <c r="D109" s="19"/>
      <c r="E109" s="19"/>
      <c r="F109" s="21"/>
      <c r="G109" s="9"/>
      <c r="H109" s="22"/>
      <c r="I109" s="9"/>
      <c r="J109" s="23"/>
      <c r="K109" s="25"/>
      <c r="L109" s="25"/>
      <c r="M109" s="66"/>
      <c r="N109" s="66"/>
      <c r="O109" s="66"/>
      <c r="P109" s="66"/>
      <c r="Q109" s="66"/>
      <c r="R109" s="66"/>
      <c r="S109" s="66"/>
      <c r="T109" s="23"/>
      <c r="U109" s="23"/>
      <c r="V109" s="28"/>
      <c r="W109" s="161"/>
    </row>
    <row r="110" spans="1:23">
      <c r="A110" s="17"/>
      <c r="B110" s="25"/>
      <c r="C110" s="25"/>
      <c r="D110" s="19"/>
      <c r="E110" s="20"/>
      <c r="F110" s="21"/>
      <c r="G110" s="22"/>
      <c r="H110" s="22"/>
      <c r="I110" s="9"/>
      <c r="J110" s="23"/>
      <c r="K110" s="25"/>
      <c r="L110" s="25"/>
      <c r="M110" s="66"/>
      <c r="N110" s="66"/>
      <c r="O110" s="66"/>
      <c r="P110" s="66"/>
      <c r="Q110" s="66"/>
      <c r="R110" s="66"/>
      <c r="S110" s="66"/>
      <c r="T110" s="23"/>
      <c r="U110" s="23"/>
      <c r="V110" s="9"/>
      <c r="W110" s="161"/>
    </row>
    <row r="111" spans="1:23">
      <c r="A111" s="17"/>
      <c r="B111" s="25"/>
      <c r="C111" s="25"/>
      <c r="D111" s="19"/>
      <c r="E111" s="19"/>
      <c r="F111" s="21"/>
      <c r="G111" s="22"/>
      <c r="H111" s="22"/>
      <c r="I111" s="9"/>
      <c r="J111" s="23"/>
      <c r="K111" s="25"/>
      <c r="L111" s="25"/>
      <c r="M111" s="66"/>
      <c r="N111" s="66"/>
      <c r="O111" s="66"/>
      <c r="P111" s="66"/>
      <c r="Q111" s="66"/>
      <c r="R111" s="66"/>
      <c r="S111" s="66"/>
      <c r="T111" s="23"/>
      <c r="U111" s="23"/>
      <c r="V111" s="9"/>
      <c r="W111" s="161"/>
    </row>
    <row r="112" spans="1:23">
      <c r="A112" s="17"/>
      <c r="B112" s="25"/>
      <c r="C112" s="25"/>
      <c r="D112" s="19"/>
      <c r="E112" s="19"/>
      <c r="F112" s="21"/>
      <c r="G112" s="22"/>
      <c r="H112" s="22"/>
      <c r="I112" s="9"/>
      <c r="J112" s="23"/>
      <c r="K112" s="25"/>
      <c r="L112" s="25"/>
      <c r="M112" s="66"/>
      <c r="N112" s="66"/>
      <c r="O112" s="66"/>
      <c r="P112" s="66"/>
      <c r="Q112" s="66"/>
      <c r="R112" s="66"/>
      <c r="S112" s="66"/>
      <c r="T112" s="23"/>
      <c r="U112" s="23"/>
      <c r="V112" s="9"/>
      <c r="W112" s="161"/>
    </row>
    <row r="113" spans="1:23">
      <c r="A113" s="17"/>
      <c r="B113" s="25"/>
      <c r="C113" s="25"/>
      <c r="D113" s="19"/>
      <c r="E113" s="19"/>
      <c r="F113" s="21"/>
      <c r="G113" s="22"/>
      <c r="H113" s="22"/>
      <c r="I113" s="9"/>
      <c r="J113" s="23"/>
      <c r="K113" s="25"/>
      <c r="L113" s="25"/>
      <c r="M113" s="66"/>
      <c r="N113" s="66"/>
      <c r="O113" s="66"/>
      <c r="P113" s="66"/>
      <c r="Q113" s="66"/>
      <c r="R113" s="66"/>
      <c r="S113" s="66"/>
      <c r="T113" s="23"/>
      <c r="U113" s="23"/>
      <c r="V113" s="9"/>
      <c r="W113" s="161"/>
    </row>
    <row r="114" spans="1:23">
      <c r="A114" s="17"/>
      <c r="B114" s="25"/>
      <c r="C114" s="25"/>
      <c r="D114" s="19"/>
      <c r="E114" s="19"/>
      <c r="F114" s="21"/>
      <c r="G114" s="22"/>
      <c r="H114" s="22"/>
      <c r="I114" s="9"/>
      <c r="J114" s="23"/>
      <c r="K114" s="25"/>
      <c r="L114" s="25"/>
      <c r="M114" s="66"/>
      <c r="N114" s="66"/>
      <c r="O114" s="66"/>
      <c r="P114" s="66"/>
      <c r="Q114" s="66"/>
      <c r="R114" s="66"/>
      <c r="S114" s="66"/>
      <c r="T114" s="23"/>
      <c r="U114" s="23"/>
      <c r="V114" s="9"/>
      <c r="W114" s="161"/>
    </row>
    <row r="115" spans="1:23">
      <c r="A115" s="17"/>
      <c r="B115" s="25"/>
      <c r="C115" s="25"/>
      <c r="D115" s="19"/>
      <c r="E115" s="19"/>
      <c r="F115" s="21"/>
      <c r="G115" s="22"/>
      <c r="H115" s="22"/>
      <c r="I115" s="9"/>
      <c r="J115" s="23"/>
      <c r="K115" s="25"/>
      <c r="L115" s="25"/>
      <c r="M115" s="66"/>
      <c r="N115" s="66"/>
      <c r="O115" s="66"/>
      <c r="P115" s="66"/>
      <c r="Q115" s="66"/>
      <c r="R115" s="66"/>
      <c r="S115" s="66"/>
      <c r="T115" s="23"/>
      <c r="U115" s="23"/>
      <c r="V115" s="9"/>
      <c r="W115" s="161"/>
    </row>
    <row r="116" spans="1:23">
      <c r="A116" s="17"/>
      <c r="B116" s="25"/>
      <c r="C116" s="25"/>
      <c r="D116" s="19"/>
      <c r="E116" s="19"/>
      <c r="F116" s="21"/>
      <c r="G116" s="22"/>
      <c r="H116" s="22"/>
      <c r="I116" s="9"/>
      <c r="J116" s="23"/>
      <c r="K116" s="25"/>
      <c r="L116" s="25"/>
      <c r="M116" s="66"/>
      <c r="N116" s="66"/>
      <c r="O116" s="66"/>
      <c r="P116" s="66"/>
      <c r="Q116" s="66"/>
      <c r="R116" s="66"/>
      <c r="S116" s="66"/>
      <c r="T116" s="23"/>
      <c r="U116" s="23"/>
      <c r="V116" s="9"/>
      <c r="W116" s="161"/>
    </row>
    <row r="117" spans="1:23">
      <c r="A117" s="17"/>
      <c r="B117" s="25"/>
      <c r="C117" s="25"/>
      <c r="D117" s="19"/>
      <c r="E117" s="20"/>
      <c r="F117" s="21"/>
      <c r="G117" s="22"/>
      <c r="H117" s="22"/>
      <c r="I117" s="9"/>
      <c r="J117" s="23"/>
      <c r="K117" s="25"/>
      <c r="L117" s="25"/>
      <c r="M117" s="66"/>
      <c r="N117" s="66"/>
      <c r="O117" s="66"/>
      <c r="P117" s="66"/>
      <c r="Q117" s="66"/>
      <c r="R117" s="66"/>
      <c r="S117" s="66"/>
      <c r="T117" s="23"/>
      <c r="U117" s="23"/>
      <c r="V117" s="9"/>
      <c r="W117" s="161"/>
    </row>
    <row r="118" spans="1:23">
      <c r="A118" s="17"/>
      <c r="B118" s="25"/>
      <c r="C118" s="25"/>
      <c r="D118" s="19"/>
      <c r="E118" s="19"/>
      <c r="F118" s="21"/>
      <c r="G118" s="22"/>
      <c r="H118" s="22"/>
      <c r="I118" s="9"/>
      <c r="J118" s="23"/>
      <c r="K118" s="25"/>
      <c r="L118" s="25"/>
      <c r="M118" s="66"/>
      <c r="N118" s="66"/>
      <c r="O118" s="66"/>
      <c r="P118" s="66"/>
      <c r="Q118" s="66"/>
      <c r="R118" s="66"/>
      <c r="S118" s="66"/>
      <c r="T118" s="23"/>
      <c r="U118" s="23"/>
      <c r="V118" s="9"/>
      <c r="W118" s="161"/>
    </row>
    <row r="119" spans="1:23">
      <c r="A119" s="17"/>
      <c r="B119" s="25"/>
      <c r="C119" s="25"/>
      <c r="D119" s="19"/>
      <c r="E119" s="20"/>
      <c r="F119" s="21"/>
      <c r="G119" s="22"/>
      <c r="H119" s="22"/>
      <c r="I119" s="9"/>
      <c r="J119" s="23"/>
      <c r="K119" s="25"/>
      <c r="L119" s="25"/>
      <c r="M119" s="66"/>
      <c r="N119" s="66"/>
      <c r="O119" s="66"/>
      <c r="P119" s="66"/>
      <c r="Q119" s="66"/>
      <c r="R119" s="66"/>
      <c r="S119" s="66"/>
      <c r="T119" s="23"/>
      <c r="U119" s="23"/>
      <c r="V119" s="9"/>
      <c r="W119" s="161"/>
    </row>
    <row r="120" spans="1:23">
      <c r="A120" s="17"/>
      <c r="B120" s="25"/>
      <c r="C120" s="25"/>
      <c r="D120" s="19"/>
      <c r="E120" s="19"/>
      <c r="F120" s="21"/>
      <c r="G120" s="22"/>
      <c r="H120" s="22"/>
      <c r="I120" s="9"/>
      <c r="J120" s="23"/>
      <c r="K120" s="25"/>
      <c r="L120" s="25"/>
      <c r="M120" s="66"/>
      <c r="N120" s="66"/>
      <c r="O120" s="66"/>
      <c r="P120" s="66"/>
      <c r="Q120" s="66"/>
      <c r="R120" s="66"/>
      <c r="S120" s="66"/>
      <c r="T120" s="23"/>
      <c r="U120" s="23"/>
      <c r="V120" s="9"/>
      <c r="W120" s="161"/>
    </row>
    <row r="121" spans="1:23">
      <c r="A121" s="17"/>
      <c r="B121" s="25"/>
      <c r="C121" s="25"/>
      <c r="D121" s="19"/>
      <c r="E121" s="19"/>
      <c r="F121" s="21"/>
      <c r="G121" s="22"/>
      <c r="H121" s="22"/>
      <c r="I121" s="9"/>
      <c r="J121" s="23"/>
      <c r="K121" s="25"/>
      <c r="L121" s="25"/>
      <c r="M121" s="66"/>
      <c r="N121" s="66"/>
      <c r="O121" s="66"/>
      <c r="P121" s="66"/>
      <c r="Q121" s="66"/>
      <c r="R121" s="66"/>
      <c r="S121" s="66"/>
      <c r="T121" s="23"/>
      <c r="U121" s="23"/>
      <c r="V121" s="9"/>
      <c r="W121" s="161"/>
    </row>
    <row r="122" spans="1:23">
      <c r="A122" s="17"/>
      <c r="B122" s="25"/>
      <c r="C122" s="25"/>
      <c r="D122" s="19"/>
      <c r="E122" s="19"/>
      <c r="F122" s="21"/>
      <c r="G122" s="22"/>
      <c r="H122" s="22"/>
      <c r="I122" s="9"/>
      <c r="J122" s="23"/>
      <c r="K122" s="25"/>
      <c r="L122" s="25"/>
      <c r="M122" s="66"/>
      <c r="N122" s="66"/>
      <c r="O122" s="66"/>
      <c r="P122" s="66"/>
      <c r="Q122" s="66"/>
      <c r="R122" s="66"/>
      <c r="S122" s="66"/>
      <c r="T122" s="23"/>
      <c r="U122" s="23"/>
      <c r="V122" s="9"/>
      <c r="W122" s="161"/>
    </row>
    <row r="123" spans="1:23">
      <c r="A123" s="17"/>
      <c r="B123" s="25"/>
      <c r="C123" s="25"/>
      <c r="D123" s="19"/>
      <c r="E123" s="20"/>
      <c r="F123" s="21"/>
      <c r="G123" s="22"/>
      <c r="H123" s="22"/>
      <c r="I123" s="9"/>
      <c r="J123" s="23"/>
      <c r="K123" s="25"/>
      <c r="L123" s="25"/>
      <c r="M123" s="66"/>
      <c r="N123" s="66"/>
      <c r="O123" s="66"/>
      <c r="P123" s="66"/>
      <c r="Q123" s="66"/>
      <c r="R123" s="66"/>
      <c r="S123" s="66"/>
      <c r="T123" s="23"/>
      <c r="U123" s="23"/>
      <c r="V123" s="9"/>
      <c r="W123" s="161"/>
    </row>
    <row r="124" spans="1:23">
      <c r="A124" s="17"/>
      <c r="B124" s="25"/>
      <c r="C124" s="25"/>
      <c r="D124" s="19"/>
      <c r="E124" s="19"/>
      <c r="F124" s="21"/>
      <c r="G124" s="22"/>
      <c r="H124" s="22"/>
      <c r="I124" s="9"/>
      <c r="J124" s="23"/>
      <c r="K124" s="25"/>
      <c r="L124" s="25"/>
      <c r="M124" s="66"/>
      <c r="N124" s="66"/>
      <c r="O124" s="66"/>
      <c r="P124" s="66"/>
      <c r="Q124" s="66"/>
      <c r="R124" s="66"/>
      <c r="S124" s="66"/>
      <c r="T124" s="23"/>
      <c r="U124" s="23"/>
      <c r="V124" s="9"/>
      <c r="W124" s="161"/>
    </row>
    <row r="125" spans="1:23">
      <c r="A125" s="17"/>
      <c r="B125" s="25"/>
      <c r="C125" s="25"/>
      <c r="D125" s="19"/>
      <c r="E125" s="20"/>
      <c r="F125" s="21"/>
      <c r="G125" s="22"/>
      <c r="H125" s="22"/>
      <c r="I125" s="9"/>
      <c r="J125" s="23"/>
      <c r="K125" s="25"/>
      <c r="L125" s="25"/>
      <c r="M125" s="66"/>
      <c r="N125" s="66"/>
      <c r="O125" s="66"/>
      <c r="P125" s="66"/>
      <c r="Q125" s="66"/>
      <c r="R125" s="66"/>
      <c r="S125" s="66"/>
      <c r="T125" s="23"/>
      <c r="U125" s="23"/>
      <c r="V125" s="9"/>
      <c r="W125" s="161"/>
    </row>
    <row r="126" spans="1:23">
      <c r="A126" s="17"/>
      <c r="B126" s="25"/>
      <c r="C126" s="25"/>
      <c r="D126" s="19"/>
      <c r="E126" s="20"/>
      <c r="F126" s="21"/>
      <c r="G126" s="22"/>
      <c r="H126" s="22"/>
      <c r="I126" s="9"/>
      <c r="J126" s="23"/>
      <c r="K126" s="25"/>
      <c r="L126" s="25"/>
      <c r="M126" s="66"/>
      <c r="N126" s="66"/>
      <c r="O126" s="66"/>
      <c r="P126" s="66"/>
      <c r="Q126" s="66"/>
      <c r="R126" s="66"/>
      <c r="S126" s="66"/>
      <c r="T126" s="23"/>
      <c r="U126" s="23"/>
      <c r="V126" s="9"/>
      <c r="W126" s="161"/>
    </row>
    <row r="127" spans="1:23">
      <c r="A127" s="17"/>
      <c r="B127" s="25"/>
      <c r="C127" s="25"/>
      <c r="D127" s="19"/>
      <c r="E127" s="19"/>
      <c r="F127" s="21"/>
      <c r="G127" s="22"/>
      <c r="H127" s="22"/>
      <c r="I127" s="9"/>
      <c r="J127" s="23"/>
      <c r="K127" s="25"/>
      <c r="L127" s="25"/>
      <c r="M127" s="66"/>
      <c r="N127" s="66"/>
      <c r="O127" s="66"/>
      <c r="P127" s="66"/>
      <c r="Q127" s="66"/>
      <c r="R127" s="66"/>
      <c r="S127" s="66"/>
      <c r="T127" s="23"/>
      <c r="U127" s="23"/>
      <c r="V127" s="9"/>
      <c r="W127" s="161"/>
    </row>
    <row r="128" spans="1:23">
      <c r="A128" s="17"/>
      <c r="B128" s="25"/>
      <c r="C128" s="25"/>
      <c r="D128" s="19"/>
      <c r="E128" s="20"/>
      <c r="F128" s="21"/>
      <c r="G128" s="22"/>
      <c r="H128" s="22"/>
      <c r="I128" s="9"/>
      <c r="J128" s="23"/>
      <c r="K128" s="25"/>
      <c r="L128" s="25"/>
      <c r="M128" s="66"/>
      <c r="N128" s="66"/>
      <c r="O128" s="66"/>
      <c r="P128" s="66"/>
      <c r="Q128" s="66"/>
      <c r="R128" s="66"/>
      <c r="S128" s="66"/>
      <c r="T128" s="23"/>
      <c r="U128" s="23"/>
      <c r="V128" s="9"/>
      <c r="W128" s="161"/>
    </row>
    <row r="129" spans="1:23">
      <c r="A129" s="17"/>
      <c r="B129" s="25"/>
      <c r="C129" s="25"/>
      <c r="D129" s="19"/>
      <c r="E129" s="19"/>
      <c r="F129" s="21"/>
      <c r="G129" s="22"/>
      <c r="H129" s="22"/>
      <c r="I129" s="9"/>
      <c r="J129" s="23"/>
      <c r="K129" s="25"/>
      <c r="L129" s="25"/>
      <c r="M129" s="66"/>
      <c r="N129" s="66"/>
      <c r="O129" s="66"/>
      <c r="P129" s="66"/>
      <c r="Q129" s="66"/>
      <c r="R129" s="66"/>
      <c r="S129" s="66"/>
      <c r="T129" s="23"/>
      <c r="U129" s="23"/>
      <c r="V129" s="9"/>
      <c r="W129" s="161"/>
    </row>
    <row r="130" spans="1:23">
      <c r="A130" s="17"/>
      <c r="B130" s="25"/>
      <c r="C130" s="25"/>
      <c r="D130" s="19"/>
      <c r="E130" s="19"/>
      <c r="F130" s="21"/>
      <c r="G130" s="22"/>
      <c r="H130" s="22"/>
      <c r="I130" s="9"/>
      <c r="J130" s="23"/>
      <c r="K130" s="25"/>
      <c r="L130" s="25"/>
      <c r="M130" s="66"/>
      <c r="N130" s="66"/>
      <c r="O130" s="66"/>
      <c r="P130" s="66"/>
      <c r="Q130" s="66"/>
      <c r="R130" s="66"/>
      <c r="S130" s="66"/>
      <c r="T130" s="23"/>
      <c r="U130" s="23"/>
      <c r="V130" s="9"/>
      <c r="W130" s="161"/>
    </row>
    <row r="131" spans="1:23">
      <c r="A131" s="17"/>
      <c r="B131" s="8"/>
      <c r="C131" s="8"/>
      <c r="D131" s="19"/>
      <c r="E131" s="19"/>
      <c r="F131" s="21"/>
      <c r="G131" s="9"/>
      <c r="H131" s="22"/>
      <c r="I131" s="9"/>
      <c r="J131" s="23"/>
      <c r="K131" s="25"/>
      <c r="L131" s="25"/>
      <c r="M131" s="66"/>
      <c r="N131" s="66"/>
      <c r="O131" s="66"/>
      <c r="P131" s="66"/>
      <c r="Q131" s="66"/>
      <c r="R131" s="66"/>
      <c r="S131" s="66"/>
      <c r="T131" s="23"/>
      <c r="U131" s="23"/>
      <c r="V131" s="9"/>
      <c r="W131" s="162"/>
    </row>
    <row r="132" spans="1:23">
      <c r="A132" s="17"/>
      <c r="B132" s="8"/>
      <c r="C132" s="8"/>
      <c r="D132" s="19"/>
      <c r="E132" s="19"/>
      <c r="F132" s="21"/>
      <c r="G132" s="9"/>
      <c r="H132" s="22"/>
      <c r="I132" s="9"/>
      <c r="J132" s="23"/>
      <c r="K132" s="25"/>
      <c r="L132" s="25"/>
      <c r="M132" s="66"/>
      <c r="N132" s="66"/>
      <c r="O132" s="66"/>
      <c r="P132" s="66"/>
      <c r="Q132" s="66"/>
      <c r="R132" s="66"/>
      <c r="S132" s="66"/>
      <c r="T132" s="23"/>
      <c r="U132" s="23"/>
      <c r="V132" s="9"/>
      <c r="W132" s="161"/>
    </row>
    <row r="133" spans="1:23">
      <c r="A133" s="17"/>
      <c r="B133" s="25"/>
      <c r="C133" s="25"/>
      <c r="D133" s="19"/>
      <c r="E133" s="19"/>
      <c r="F133" s="21"/>
      <c r="G133" s="22"/>
      <c r="I133" s="9"/>
      <c r="J133" s="23"/>
      <c r="K133" s="25"/>
      <c r="L133" s="25"/>
      <c r="M133" s="66"/>
      <c r="N133" s="66"/>
      <c r="O133" s="66"/>
      <c r="P133" s="66"/>
      <c r="Q133" s="66"/>
      <c r="R133" s="66"/>
      <c r="S133" s="66"/>
      <c r="T133" s="23"/>
      <c r="U133" s="23"/>
      <c r="V133" s="9"/>
      <c r="W133" s="161"/>
    </row>
    <row r="134" spans="1:23">
      <c r="A134" s="17"/>
      <c r="B134" s="8"/>
      <c r="C134" s="8"/>
      <c r="D134" s="19"/>
      <c r="E134" s="20"/>
      <c r="F134" s="21"/>
      <c r="G134" s="9"/>
      <c r="I134" s="9"/>
      <c r="J134" s="23"/>
      <c r="K134" s="25"/>
      <c r="L134" s="25"/>
      <c r="M134" s="66"/>
      <c r="N134" s="66"/>
      <c r="O134" s="66"/>
      <c r="P134" s="66"/>
      <c r="Q134" s="66"/>
      <c r="R134" s="66"/>
      <c r="S134" s="66"/>
      <c r="T134" s="23"/>
      <c r="U134" s="23"/>
      <c r="V134" s="9"/>
      <c r="W134" s="161"/>
    </row>
    <row r="135" spans="1:23">
      <c r="A135" s="17"/>
      <c r="B135" s="25"/>
      <c r="C135" s="25"/>
      <c r="D135" s="19"/>
      <c r="E135" s="20"/>
      <c r="F135" s="21"/>
      <c r="G135" s="22"/>
      <c r="I135" s="9"/>
      <c r="J135" s="23"/>
      <c r="K135" s="25"/>
      <c r="L135" s="25"/>
      <c r="M135" s="66"/>
      <c r="N135" s="66"/>
      <c r="O135" s="66"/>
      <c r="P135" s="66"/>
      <c r="Q135" s="66"/>
      <c r="R135" s="66"/>
      <c r="S135" s="66"/>
      <c r="T135" s="23"/>
      <c r="U135" s="23"/>
      <c r="V135" s="9"/>
      <c r="W135" s="161"/>
    </row>
    <row r="136" spans="1:23">
      <c r="A136" s="17"/>
      <c r="B136" s="25"/>
      <c r="C136" s="25"/>
      <c r="D136" s="19"/>
      <c r="E136" s="19"/>
      <c r="F136" s="21"/>
      <c r="G136" s="22"/>
      <c r="I136" s="9"/>
      <c r="J136" s="23"/>
      <c r="K136" s="25"/>
      <c r="L136" s="25"/>
      <c r="M136" s="66"/>
      <c r="N136" s="66"/>
      <c r="O136" s="66"/>
      <c r="P136" s="66"/>
      <c r="Q136" s="66"/>
      <c r="R136" s="66"/>
      <c r="S136" s="66"/>
      <c r="T136" s="23"/>
      <c r="U136" s="23"/>
      <c r="V136" s="9"/>
      <c r="W136" s="161"/>
    </row>
    <row r="137" spans="1:23">
      <c r="A137" s="17"/>
      <c r="B137" s="8"/>
      <c r="C137" s="8"/>
      <c r="D137" s="19"/>
      <c r="E137" s="19"/>
      <c r="F137" s="21"/>
      <c r="G137" s="9"/>
      <c r="I137" s="9"/>
      <c r="J137" s="23"/>
      <c r="K137" s="25"/>
      <c r="L137" s="25"/>
      <c r="M137" s="66"/>
      <c r="N137" s="66"/>
      <c r="O137" s="66"/>
      <c r="P137" s="66"/>
      <c r="Q137" s="66"/>
      <c r="R137" s="66"/>
      <c r="S137" s="66"/>
      <c r="T137" s="23"/>
      <c r="U137" s="23"/>
      <c r="V137" s="9"/>
      <c r="W137" s="162"/>
    </row>
    <row r="138" spans="1:23">
      <c r="A138" s="3" t="s">
        <v>2</v>
      </c>
      <c r="B138" s="16"/>
      <c r="C138" s="16"/>
      <c r="G138" s="39"/>
      <c r="V138" s="3"/>
      <c r="W138" s="163"/>
    </row>
    <row r="139" spans="1:23">
      <c r="A139" s="3" t="s">
        <v>2</v>
      </c>
      <c r="B139" s="16"/>
      <c r="C139" s="16"/>
      <c r="G139" s="39"/>
      <c r="V139" s="3"/>
      <c r="W139" s="163"/>
    </row>
    <row r="140" spans="1:23">
      <c r="A140" s="3" t="s">
        <v>2</v>
      </c>
      <c r="B140" s="16"/>
      <c r="C140" s="16"/>
      <c r="G140" s="39"/>
      <c r="V140" s="3"/>
      <c r="W140" s="163"/>
    </row>
    <row r="141" spans="1:23">
      <c r="A141" s="3" t="s">
        <v>2</v>
      </c>
      <c r="B141" s="16"/>
      <c r="C141" s="16"/>
      <c r="G141" s="39"/>
      <c r="V141" s="3"/>
      <c r="W141" s="163"/>
    </row>
    <row r="142" spans="1:23">
      <c r="A142" s="3" t="s">
        <v>2</v>
      </c>
      <c r="B142" s="16"/>
      <c r="C142" s="16"/>
      <c r="G142" s="39"/>
      <c r="V142" s="3"/>
      <c r="W142" s="163"/>
    </row>
    <row r="143" spans="1:23">
      <c r="A143" s="3" t="s">
        <v>2</v>
      </c>
      <c r="B143" s="16"/>
      <c r="C143" s="16"/>
      <c r="G143" s="39"/>
      <c r="V143" s="3"/>
      <c r="W143" s="163"/>
    </row>
    <row r="144" spans="1:23">
      <c r="A144" s="3" t="s">
        <v>2</v>
      </c>
      <c r="B144" s="16"/>
      <c r="C144" s="16"/>
      <c r="G144" s="39"/>
      <c r="V144" s="3"/>
      <c r="W144" s="163"/>
    </row>
    <row r="145" spans="1:23">
      <c r="A145" s="3" t="s">
        <v>2</v>
      </c>
      <c r="B145" s="16"/>
      <c r="C145" s="16"/>
      <c r="G145" s="39"/>
      <c r="V145" s="3"/>
      <c r="W145" s="163"/>
    </row>
    <row r="146" spans="1:23">
      <c r="A146" s="3" t="s">
        <v>2</v>
      </c>
      <c r="B146" s="16"/>
      <c r="C146" s="16"/>
      <c r="G146" s="39"/>
      <c r="V146" s="3"/>
      <c r="W146" s="163"/>
    </row>
    <row r="147" spans="1:23">
      <c r="A147" s="3" t="s">
        <v>2</v>
      </c>
      <c r="B147" s="16"/>
      <c r="C147" s="16"/>
      <c r="G147" s="39"/>
      <c r="V147" s="3"/>
      <c r="W147" s="163"/>
    </row>
    <row r="151" spans="1:23" ht="12" customHeight="1"/>
    <row r="152" spans="1:23" ht="12.75" customHeight="1"/>
    <row r="169" ht="12" customHeight="1"/>
    <row r="170" ht="12.75" customHeight="1"/>
    <row r="171" ht="12" customHeight="1"/>
    <row r="172" ht="12.75" customHeight="1"/>
    <row r="183" ht="12" customHeight="1"/>
    <row r="184" ht="12.75" customHeight="1"/>
    <row r="185" ht="12" customHeight="1"/>
    <row r="186" ht="12.75" customHeight="1"/>
    <row r="189" ht="12" customHeight="1"/>
    <row r="190" ht="12.75" customHeight="1"/>
    <row r="191" ht="12" customHeight="1"/>
    <row r="192" ht="12.75" customHeight="1"/>
    <row r="193" ht="12" customHeight="1"/>
    <row r="194" ht="12.75" customHeight="1"/>
    <row r="196" ht="12.75" customHeight="1"/>
    <row r="206" ht="12" customHeight="1"/>
    <row r="207" ht="12.75" customHeight="1"/>
    <row r="208" ht="12" customHeight="1"/>
    <row r="209" ht="12.75" customHeight="1"/>
    <row r="213" ht="12" customHeight="1"/>
    <row r="214" ht="12.75" customHeight="1"/>
    <row r="216" ht="12" customHeight="1"/>
    <row r="217" ht="12.75" customHeight="1"/>
  </sheetData>
  <sheetProtection autoFilter="0"/>
  <protectedRanges>
    <protectedRange password="EE42" sqref="J6 H6 H23:H29 V31:V34 H7:I8 V59 H74:J75 V65:V71 W66:W68 V55:V56 H76 J62 H84:J85 V62:V63 H95:J97 H62:I63 J93 I91:J92 V74:V75 H64:J66 H87:J90 B72:H73 B74:F76 J76 B84:F85 B22:G66 B95:F97 B67:J71 B87:F90 B81:H83 B105:F65541 B91:H94 I94:J94 V97:W97 B1:F21 F77 H105:J65541 V91:V94 V13:W13 H9:J22 H30:J61 H1:J5 V45:W45 W62 B77:E80 G77:J80 F79:F80 B104:D104" name="Range1"/>
    <protectedRange password="EE42" sqref="I6" name="Range1_1"/>
    <protectedRange password="EE42" sqref="J7:J8" name="Range1_2"/>
    <protectedRange password="EE42" sqref="B86:F86 H86:J86" name="Range1_3"/>
    <protectedRange password="EE42" sqref="B98:F98 H98:J98 B99:D103" name="Range1_4"/>
    <protectedRange password="EE42" sqref="G87:G97 G105:G65541 G1:G85" name="Range1_6"/>
    <protectedRange password="EE42" sqref="G98" name="Range1_4_1"/>
    <protectedRange password="EE42" sqref="A1:A2 A105:A65541 A6 A10 A14 A18 A22 A26 A30 A34 A38 A42 A46 A50 A54 A58 A62 A66 A70 A74 A78 A82 A86 A90 A94 A98:A103" name="Range1_7"/>
    <protectedRange password="EE42" sqref="T52 T22 T36 T97 T91:T94 T13 T59 T55:T57 T31:T34 T74:T75 T44:T45 T62:T71" name="Range1_7_1"/>
    <protectedRange password="EE42" sqref="U36 U97 U91:U94 U62:U63 U13 U59 U55:U57 U31:U34 U74:U75 U44:U45 U65:U71" name="Range1_7_2"/>
    <protectedRange password="EE42" sqref="E102:H104" name="Range1_5"/>
    <protectedRange password="EE42" sqref="E101:F101 H101" name="Range1_7_3"/>
    <protectedRange password="EE42" sqref="E99:F100 H99:H100" name="Range1_4_2"/>
    <protectedRange password="EE42" sqref="G101" name="Range1_6_1_1"/>
    <protectedRange password="EE42" sqref="G99:G100" name="Range1_4_1_2"/>
    <protectedRange password="EE42" sqref="I104" name="Range1_8"/>
    <protectedRange password="EE42" sqref="I101:I103" name="Range1_7_4"/>
    <protectedRange password="EE42" sqref="I99:I100" name="Range1_4_2_1"/>
    <protectedRange password="EE42" sqref="J104" name="Range1_9"/>
    <protectedRange password="EE42" sqref="J101:J103" name="Range1_7_5"/>
    <protectedRange password="EE42" sqref="J99:J100" name="Range1_4_2_2"/>
    <protectedRange password="EE42" sqref="T102:T104" name="Range1_7_6"/>
    <protectedRange password="EE42" sqref="U102:U104" name="Range1_7_7"/>
    <protectedRange password="EE42" sqref="N52 N22 N36:O36 N97:O97 N62:O63 N59:O59 N74:O75 N13:O13 N31:O34 N55:O56 N91:O95 N44:O44 N65:O71" name="Range1_10"/>
    <protectedRange password="EE42" sqref="N101:O103" name="Range1_7_8"/>
    <protectedRange password="EE42" sqref="N64:O64" name="Range1_9_1"/>
    <protectedRange password="EE42" sqref="N45" name="Range1_10_2_2_2"/>
    <protectedRange password="EE42" sqref="O45" name="Range1_10_2_2_4"/>
  </protectedRanges>
  <autoFilter ref="A1:W147" xr:uid="{00000000-0009-0000-0000-000009000000}"/>
  <dataValidations count="4">
    <dataValidation type="list" allowBlank="1" showInputMessage="1" showErrorMessage="1" sqref="I29" xr:uid="{35B13B82-9A37-4A21-A405-9EADFE585B23}">
      <formula1>#REF!</formula1>
    </dataValidation>
    <dataValidation type="list" allowBlank="1" showInputMessage="1" showErrorMessage="1" sqref="O52" xr:uid="{E76D874F-285A-4C27-80DD-8CEED77E9F3C}">
      <formula1>$U$52:$U$52</formula1>
    </dataValidation>
    <dataValidation type="list" allowBlank="1" showInputMessage="1" showErrorMessage="1" sqref="U64" xr:uid="{B12B139C-CA3C-416E-BCF2-A228C8033C2C}">
      <formula1>$X$64:$Z$64</formula1>
    </dataValidation>
    <dataValidation type="list" allowBlank="1" showInputMessage="1" showErrorMessage="1" sqref="U52" xr:uid="{E86FE9F5-F5DC-4B3D-9AF1-C23C758AED2D}">
      <formula1>$X$52:$X$52</formula1>
    </dataValidation>
  </dataValidations>
  <printOptions horizontalCentered="1"/>
  <pageMargins left="0.25" right="0.25" top="0.5" bottom="0.5" header="0.3" footer="0.17"/>
  <pageSetup paperSize="5" scale="76" fitToHeight="22" orientation="landscape" horizontalDpi="300" verticalDpi="300" r:id="rId1"/>
  <headerFooter>
    <oddHeader>&amp;L&amp;"Arial,Regular"Refinitiv&amp;C&amp;"Arial,Regular"DIST Reverse Mapping &amp;A&amp;R&amp;"Arial,Regular"New Installations - Conversions</oddHeader>
    <oddFooter>&amp;L&amp;"Arial,Regular"&amp;8Confidential&amp;C&amp;"Arial,Regular"&amp;8&amp;D&amp;R&amp;"Arial,Regular"&amp;8Page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E32"/>
  <sheetViews>
    <sheetView zoomScaleNormal="100" workbookViewId="0">
      <selection activeCell="A2" sqref="A2:D9"/>
    </sheetView>
  </sheetViews>
  <sheetFormatPr defaultRowHeight="15"/>
  <cols>
    <col min="1" max="1" width="21" customWidth="1"/>
    <col min="2" max="2" width="23.85546875" bestFit="1" customWidth="1"/>
    <col min="3" max="3" width="15.7109375" customWidth="1"/>
    <col min="4" max="5" width="17" customWidth="1"/>
  </cols>
  <sheetData>
    <row r="1" spans="1:4" ht="24.75">
      <c r="A1" s="183" t="s">
        <v>615</v>
      </c>
      <c r="B1" s="183" t="s">
        <v>616</v>
      </c>
      <c r="C1" s="183" t="s">
        <v>587</v>
      </c>
      <c r="D1" s="183" t="s">
        <v>114</v>
      </c>
    </row>
    <row r="2" spans="1:4">
      <c r="A2" s="430" t="s">
        <v>588</v>
      </c>
      <c r="B2" s="431" t="s">
        <v>617</v>
      </c>
      <c r="C2" s="430"/>
      <c r="D2" s="430"/>
    </row>
    <row r="3" spans="1:4">
      <c r="A3" s="432" t="s">
        <v>60</v>
      </c>
      <c r="B3" s="433" t="s">
        <v>618</v>
      </c>
      <c r="C3" s="432"/>
      <c r="D3" s="433"/>
    </row>
    <row r="4" spans="1:4">
      <c r="A4" s="432" t="s">
        <v>68</v>
      </c>
      <c r="B4" s="433" t="s">
        <v>619</v>
      </c>
      <c r="C4" s="432"/>
      <c r="D4" s="433"/>
    </row>
    <row r="5" spans="1:4">
      <c r="A5" s="432" t="s">
        <v>579</v>
      </c>
      <c r="B5" s="433" t="s">
        <v>620</v>
      </c>
      <c r="C5" s="432"/>
      <c r="D5" s="433"/>
    </row>
    <row r="6" spans="1:4">
      <c r="A6" s="434" t="s">
        <v>64</v>
      </c>
      <c r="B6" s="435" t="s">
        <v>621</v>
      </c>
      <c r="C6" s="432"/>
      <c r="D6" s="433"/>
    </row>
    <row r="7" spans="1:4">
      <c r="A7" s="432" t="s">
        <v>622</v>
      </c>
      <c r="B7" s="433" t="s">
        <v>623</v>
      </c>
      <c r="C7" s="432"/>
      <c r="D7" s="433"/>
    </row>
    <row r="8" spans="1:4">
      <c r="A8" s="432" t="s">
        <v>62</v>
      </c>
      <c r="B8" s="433" t="s">
        <v>624</v>
      </c>
      <c r="C8" s="432"/>
      <c r="D8" s="433"/>
    </row>
    <row r="9" spans="1:4">
      <c r="A9" s="432" t="s">
        <v>83</v>
      </c>
      <c r="B9" s="433" t="s">
        <v>618</v>
      </c>
      <c r="C9" s="432"/>
      <c r="D9" s="433"/>
    </row>
    <row r="32" spans="5:5">
      <c r="E32" t="s">
        <v>2</v>
      </c>
    </row>
  </sheetData>
  <pageMargins left="0.7" right="0.7" top="0.75" bottom="0.75" header="0.3" footer="0.3"/>
  <pageSetup orientation="portrait" r:id="rId1"/>
  <headerFooter>
    <oddHeader>&amp;LRefinitiv&amp;CDIST Reverse Mapping &amp;A&amp;RNew Installations - Conversions</oddHeader>
    <oddFooter>&amp;LConfidential&amp;C&amp;D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U31"/>
  <sheetViews>
    <sheetView zoomScaleNormal="100" workbookViewId="0">
      <selection activeCell="A14" sqref="A14:E20"/>
    </sheetView>
  </sheetViews>
  <sheetFormatPr defaultRowHeight="15"/>
  <cols>
    <col min="1" max="1" width="14.42578125" customWidth="1"/>
    <col min="2" max="2" width="13.140625" customWidth="1"/>
    <col min="3" max="3" width="12.7109375" customWidth="1"/>
    <col min="4" max="4" width="11.5703125" customWidth="1"/>
    <col min="5" max="5" width="23.28515625" customWidth="1"/>
  </cols>
  <sheetData>
    <row r="1" spans="1:21">
      <c r="A1" s="188" t="s">
        <v>582</v>
      </c>
      <c r="B1" s="188"/>
      <c r="C1" s="188"/>
    </row>
    <row r="2" spans="1:21" ht="24.75">
      <c r="A2" s="504" t="s">
        <v>583</v>
      </c>
      <c r="B2" s="505"/>
      <c r="C2" s="505"/>
      <c r="D2" s="505"/>
      <c r="E2" s="505"/>
      <c r="G2" s="172" t="s">
        <v>569</v>
      </c>
    </row>
    <row r="3" spans="1:21" ht="48.75">
      <c r="A3" s="182" t="s">
        <v>584</v>
      </c>
      <c r="B3" s="182" t="s">
        <v>585</v>
      </c>
      <c r="C3" s="183" t="s">
        <v>586</v>
      </c>
      <c r="D3" s="183" t="s">
        <v>587</v>
      </c>
      <c r="E3" s="183" t="s">
        <v>114</v>
      </c>
    </row>
    <row r="4" spans="1:21">
      <c r="A4" s="506" t="s">
        <v>588</v>
      </c>
      <c r="B4" s="507"/>
      <c r="C4" s="433" t="s">
        <v>589</v>
      </c>
      <c r="D4" s="432" t="s">
        <v>53</v>
      </c>
      <c r="E4" s="433"/>
    </row>
    <row r="5" spans="1:21">
      <c r="A5" s="433" t="s">
        <v>90</v>
      </c>
      <c r="B5" s="433"/>
      <c r="C5" s="436" t="s">
        <v>590</v>
      </c>
      <c r="D5" s="432" t="s">
        <v>54</v>
      </c>
      <c r="E5" s="433" t="s">
        <v>591</v>
      </c>
    </row>
    <row r="6" spans="1:21">
      <c r="A6" s="433" t="s">
        <v>93</v>
      </c>
      <c r="B6" s="433"/>
      <c r="C6" s="436" t="s">
        <v>592</v>
      </c>
      <c r="D6" s="432" t="s">
        <v>54</v>
      </c>
      <c r="E6" s="433" t="s">
        <v>593</v>
      </c>
      <c r="I6" s="211" t="s">
        <v>594</v>
      </c>
      <c r="J6" s="211"/>
      <c r="K6" s="211"/>
      <c r="L6" s="211"/>
      <c r="M6" s="211"/>
      <c r="N6" s="211"/>
      <c r="O6" s="211"/>
      <c r="P6" s="211"/>
      <c r="Q6" s="211"/>
      <c r="R6" s="211"/>
      <c r="S6" s="211"/>
      <c r="T6" s="211"/>
      <c r="U6" s="211"/>
    </row>
    <row r="7" spans="1:21">
      <c r="A7" s="433" t="s">
        <v>99</v>
      </c>
      <c r="B7" s="433" t="s">
        <v>56</v>
      </c>
      <c r="C7" s="436" t="s">
        <v>592</v>
      </c>
      <c r="D7" s="432" t="s">
        <v>54</v>
      </c>
      <c r="E7" s="433" t="s">
        <v>595</v>
      </c>
    </row>
    <row r="8" spans="1:21">
      <c r="A8" s="433" t="s">
        <v>99</v>
      </c>
      <c r="B8" s="433" t="s">
        <v>596</v>
      </c>
      <c r="C8" s="436" t="s">
        <v>590</v>
      </c>
      <c r="D8" s="432" t="s">
        <v>54</v>
      </c>
      <c r="E8" s="433" t="s">
        <v>595</v>
      </c>
    </row>
    <row r="9" spans="1:21">
      <c r="A9" s="433" t="s">
        <v>99</v>
      </c>
      <c r="B9" s="433" t="s">
        <v>62</v>
      </c>
      <c r="C9" s="436" t="s">
        <v>589</v>
      </c>
      <c r="D9" s="432" t="s">
        <v>54</v>
      </c>
      <c r="E9" s="433" t="s">
        <v>595</v>
      </c>
    </row>
    <row r="10" spans="1:21">
      <c r="A10" s="3"/>
      <c r="B10" s="3"/>
      <c r="C10" s="3"/>
      <c r="D10" s="16"/>
      <c r="E10" s="3"/>
    </row>
    <row r="11" spans="1:21">
      <c r="A11" s="188" t="s">
        <v>597</v>
      </c>
      <c r="B11" s="188"/>
      <c r="C11" s="188"/>
      <c r="D11" s="3"/>
      <c r="E11" s="3"/>
    </row>
    <row r="12" spans="1:21">
      <c r="A12" s="504" t="s">
        <v>583</v>
      </c>
      <c r="B12" s="505"/>
      <c r="C12" s="505"/>
      <c r="D12" s="505"/>
      <c r="E12" s="505"/>
    </row>
    <row r="13" spans="1:21" ht="48.75">
      <c r="A13" s="182" t="s">
        <v>584</v>
      </c>
      <c r="B13" s="182" t="s">
        <v>585</v>
      </c>
      <c r="C13" s="183" t="s">
        <v>586</v>
      </c>
      <c r="D13" s="183" t="s">
        <v>587</v>
      </c>
      <c r="E13" s="183" t="s">
        <v>114</v>
      </c>
    </row>
    <row r="14" spans="1:21">
      <c r="A14" s="506" t="s">
        <v>588</v>
      </c>
      <c r="B14" s="507"/>
      <c r="C14" s="433" t="s">
        <v>598</v>
      </c>
      <c r="D14" s="432" t="s">
        <v>53</v>
      </c>
      <c r="E14" s="433"/>
    </row>
    <row r="15" spans="1:21">
      <c r="A15" s="433" t="s">
        <v>92</v>
      </c>
      <c r="B15" s="433"/>
      <c r="C15" s="436" t="s">
        <v>599</v>
      </c>
      <c r="D15" s="432" t="s">
        <v>54</v>
      </c>
      <c r="E15" s="433" t="s">
        <v>600</v>
      </c>
    </row>
    <row r="16" spans="1:21">
      <c r="A16" s="433" t="s">
        <v>95</v>
      </c>
      <c r="B16" s="433"/>
      <c r="C16" s="437" t="s">
        <v>601</v>
      </c>
      <c r="D16" s="432" t="s">
        <v>54</v>
      </c>
      <c r="E16" s="433" t="s">
        <v>602</v>
      </c>
    </row>
    <row r="17" spans="1:5">
      <c r="A17" s="433" t="s">
        <v>96</v>
      </c>
      <c r="B17" s="433"/>
      <c r="C17" s="437" t="s">
        <v>601</v>
      </c>
      <c r="D17" s="432" t="s">
        <v>54</v>
      </c>
      <c r="E17" s="433" t="s">
        <v>602</v>
      </c>
    </row>
    <row r="18" spans="1:5">
      <c r="A18" s="433" t="s">
        <v>97</v>
      </c>
      <c r="B18" s="433"/>
      <c r="C18" s="436" t="s">
        <v>598</v>
      </c>
      <c r="D18" s="432" t="s">
        <v>54</v>
      </c>
      <c r="E18" s="433" t="s">
        <v>603</v>
      </c>
    </row>
    <row r="19" spans="1:5">
      <c r="A19" s="433" t="s">
        <v>98</v>
      </c>
      <c r="B19" s="433"/>
      <c r="C19" s="436" t="s">
        <v>599</v>
      </c>
      <c r="D19" s="432" t="s">
        <v>54</v>
      </c>
      <c r="E19" s="433" t="s">
        <v>604</v>
      </c>
    </row>
    <row r="20" spans="1:5">
      <c r="A20" s="433" t="s">
        <v>99</v>
      </c>
      <c r="B20" s="433"/>
      <c r="C20" s="436" t="s">
        <v>605</v>
      </c>
      <c r="D20" s="432" t="s">
        <v>54</v>
      </c>
      <c r="E20" s="433" t="s">
        <v>606</v>
      </c>
    </row>
    <row r="21" spans="1:5">
      <c r="A21" s="3"/>
      <c r="B21" s="3"/>
      <c r="C21" s="3"/>
      <c r="D21" s="3"/>
      <c r="E21" s="3"/>
    </row>
    <row r="22" spans="1:5">
      <c r="A22" s="3"/>
      <c r="B22" s="3"/>
      <c r="C22" s="3"/>
      <c r="D22" s="3"/>
      <c r="E22" s="3"/>
    </row>
    <row r="23" spans="1:5">
      <c r="A23" s="3" t="s">
        <v>607</v>
      </c>
      <c r="B23" s="3"/>
      <c r="C23" s="3"/>
      <c r="D23" s="3"/>
      <c r="E23" s="3"/>
    </row>
    <row r="24" spans="1:5">
      <c r="A24" s="3" t="s">
        <v>608</v>
      </c>
      <c r="B24" s="3"/>
      <c r="C24" s="3"/>
      <c r="D24" s="3"/>
      <c r="E24" s="3"/>
    </row>
    <row r="25" spans="1:5">
      <c r="A25" s="3" t="s">
        <v>609</v>
      </c>
      <c r="B25" s="3"/>
      <c r="C25" s="3"/>
      <c r="D25" s="3"/>
      <c r="E25" s="3"/>
    </row>
    <row r="26" spans="1:5">
      <c r="A26" s="3" t="s">
        <v>610</v>
      </c>
      <c r="B26" s="3"/>
      <c r="C26" s="3"/>
      <c r="D26" s="3"/>
      <c r="E26" s="3"/>
    </row>
    <row r="27" spans="1:5">
      <c r="A27" s="3" t="s">
        <v>611</v>
      </c>
      <c r="B27" s="3"/>
      <c r="C27" s="3"/>
      <c r="D27" s="3"/>
      <c r="E27" s="3"/>
    </row>
    <row r="28" spans="1:5">
      <c r="A28" s="3" t="s">
        <v>612</v>
      </c>
      <c r="B28" s="3"/>
      <c r="C28" s="3"/>
      <c r="D28" s="3"/>
      <c r="E28" s="3"/>
    </row>
    <row r="29" spans="1:5">
      <c r="A29" s="3" t="s">
        <v>613</v>
      </c>
      <c r="B29" s="3"/>
      <c r="C29" s="3"/>
      <c r="D29" s="3"/>
      <c r="E29" s="3"/>
    </row>
    <row r="31" spans="1:5">
      <c r="A31" s="3" t="s">
        <v>614</v>
      </c>
      <c r="B31" s="79"/>
      <c r="C31" s="79"/>
      <c r="D31" s="79"/>
      <c r="E31" s="79"/>
    </row>
  </sheetData>
  <mergeCells count="4">
    <mergeCell ref="A2:E2"/>
    <mergeCell ref="A4:B4"/>
    <mergeCell ref="A12:E12"/>
    <mergeCell ref="A14:B14"/>
  </mergeCells>
  <hyperlinks>
    <hyperlink ref="G2" location="MAPPING!A1" display="Return to Mapping" xr:uid="{00000000-0004-0000-0700-000000000000}"/>
  </hyperlinks>
  <pageMargins left="0.7" right="0.7" top="0.75" bottom="0.75" header="0.3" footer="0.3"/>
  <pageSetup orientation="portrait" r:id="rId1"/>
  <headerFooter>
    <oddHeader>&amp;LRefinitiv&amp;CReverse Mapping&amp;RNew Installations - Conversions</oddHeader>
    <oddFooter>&amp;LConfidential&amp;C&amp;D&amp;RPage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b2dbde3b-126d-4786-9776-87cdafcd6f93" xsi:nil="true"/>
    <Comments xmlns="e85c2c2a-e6cc-4846-86fa-d319c4bb3bfb" xsi:nil="true"/>
    <lcf76f155ced4ddcb4097134ff3c332f xmlns="e85c2c2a-e6cc-4846-86fa-d319c4bb3bfb">
      <Terms xmlns="http://schemas.microsoft.com/office/infopath/2007/PartnerControls"/>
    </lcf76f155ced4ddcb4097134ff3c332f>
    <Date xmlns="e85c2c2a-e6cc-4846-86fa-d319c4bb3bf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1B747BAA6AA1A4BA9876108A94F04F6" ma:contentTypeVersion="23" ma:contentTypeDescription="Create a new document." ma:contentTypeScope="" ma:versionID="c80842871a9ecd76a689b9956be093a1">
  <xsd:schema xmlns:xsd="http://www.w3.org/2001/XMLSchema" xmlns:xs="http://www.w3.org/2001/XMLSchema" xmlns:p="http://schemas.microsoft.com/office/2006/metadata/properties" xmlns:ns1="http://schemas.microsoft.com/sharepoint/v3" xmlns:ns2="e85c2c2a-e6cc-4846-86fa-d319c4bb3bfb" xmlns:ns3="b2dbde3b-126d-4786-9776-87cdafcd6f93" targetNamespace="http://schemas.microsoft.com/office/2006/metadata/properties" ma:root="true" ma:fieldsID="477a4a9c7d7e205e49d01dfff7807026" ns1:_="" ns2:_="" ns3:_="">
    <xsd:import namespace="http://schemas.microsoft.com/sharepoint/v3"/>
    <xsd:import namespace="e85c2c2a-e6cc-4846-86fa-d319c4bb3bfb"/>
    <xsd:import namespace="b2dbde3b-126d-4786-9776-87cdafcd6f93"/>
    <xsd:element name="properties">
      <xsd:complexType>
        <xsd:sequence>
          <xsd:element name="documentManagement">
            <xsd:complexType>
              <xsd:all>
                <xsd:element ref="ns2:Comments" minOccurs="0"/>
                <xsd:element ref="ns3:SharedWithUsers" minOccurs="0"/>
                <xsd:element ref="ns3:SharedWithDetails"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element ref="ns2:MediaServiceSearchProperties" minOccurs="0"/>
                <xsd:element ref="ns2:lcf76f155ced4ddcb4097134ff3c332f" minOccurs="0"/>
                <xsd:element ref="ns3:TaxCatchAll" minOccurs="0"/>
                <xsd:element ref="ns2:MediaServiceOCR" minOccurs="0"/>
                <xsd:element ref="ns2:MediaServiceLocation" minOccurs="0"/>
                <xsd:element ref="ns2: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5c2c2a-e6cc-4846-86fa-d319c4bb3bfb" elementFormDefault="qualified">
    <xsd:import namespace="http://schemas.microsoft.com/office/2006/documentManagement/types"/>
    <xsd:import namespace="http://schemas.microsoft.com/office/infopath/2007/PartnerControls"/>
    <xsd:element name="Comments" ma:index="5" nillable="true" ma:displayName="Comments" ma:internalName="Comments" ma:readOnly="false">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46c41ab-b81f-4d40-b9b9-8773c83a3afd" ma:termSetId="09814cd3-568e-fe90-9814-8d621ff8fb84" ma:anchorId="fba54fb3-c3e1-fe81-a776-ca4b69148c4d" ma:open="true" ma:isKeyword="false">
      <xsd:complexType>
        <xsd:sequence>
          <xsd:element ref="pc:Terms" minOccurs="0" maxOccurs="1"/>
        </xsd:sequence>
      </xsd:complexType>
    </xsd:element>
    <xsd:element name="MediaServiceOCR" ma:index="24" nillable="true" ma:displayName="Extracted Text" ma:internalName="MediaServiceOCR" ma:readOnly="true">
      <xsd:simpleType>
        <xsd:restriction base="dms:Note">
          <xsd:maxLength value="255"/>
        </xsd:restriction>
      </xsd:simpleType>
    </xsd:element>
    <xsd:element name="MediaServiceLocation" ma:index="25" nillable="true" ma:displayName="Location" ma:indexed="true" ma:internalName="MediaServiceLocation" ma:readOnly="true">
      <xsd:simpleType>
        <xsd:restriction base="dms:Text"/>
      </xsd:simpleType>
    </xsd:element>
    <xsd:element name="Date" ma:index="26" nillable="true" ma:displayName="Date" ma:format="DateOnly" ma:internalName="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2dbde3b-126d-4786-9776-87cdafcd6f93"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3f1b5cf-c31a-4003-890a-d18040bd6132}" ma:internalName="TaxCatchAll" ma:showField="CatchAllData" ma:web="b2dbde3b-126d-4786-9776-87cdafcd6f9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6"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LongProperties xmlns="http://schemas.microsoft.com/office/2006/metadata/long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E79B62F-035A-4A7B-A965-A1593CF9D229}">
  <ds:schemaRefs>
    <ds:schemaRef ds:uri="http://schemas.microsoft.com/office/infopath/2007/PartnerControls"/>
    <ds:schemaRef ds:uri="http://schemas.microsoft.com/office/2006/documentManagement/types"/>
    <ds:schemaRef ds:uri="http://purl.org/dc/elements/1.1/"/>
    <ds:schemaRef ds:uri="http://purl.org/dc/dcmitype/"/>
    <ds:schemaRef ds:uri="b2dbde3b-126d-4786-9776-87cdafcd6f93"/>
    <ds:schemaRef ds:uri="http://www.w3.org/XML/1998/namespace"/>
    <ds:schemaRef ds:uri="http://schemas.microsoft.com/sharepoint/v3"/>
    <ds:schemaRef ds:uri="http://purl.org/dc/terms/"/>
    <ds:schemaRef ds:uri="http://schemas.openxmlformats.org/package/2006/metadata/core-properties"/>
    <ds:schemaRef ds:uri="e85c2c2a-e6cc-4846-86fa-d319c4bb3bfb"/>
    <ds:schemaRef ds:uri="http://schemas.microsoft.com/office/2006/metadata/properties"/>
  </ds:schemaRefs>
</ds:datastoreItem>
</file>

<file path=customXml/itemProps2.xml><?xml version="1.0" encoding="utf-8"?>
<ds:datastoreItem xmlns:ds="http://schemas.openxmlformats.org/officeDocument/2006/customXml" ds:itemID="{35ECCC3A-3C2B-4D04-A0D6-8CB6AB442A30}"/>
</file>

<file path=customXml/itemProps3.xml><?xml version="1.0" encoding="utf-8"?>
<ds:datastoreItem xmlns:ds="http://schemas.openxmlformats.org/officeDocument/2006/customXml" ds:itemID="{91630137-776A-480F-90ED-75412D00C50F}">
  <ds:schemaRefs>
    <ds:schemaRef ds:uri="http://schemas.microsoft.com/office/2006/metadata/longProperties"/>
  </ds:schemaRefs>
</ds:datastoreItem>
</file>

<file path=customXml/itemProps4.xml><?xml version="1.0" encoding="utf-8"?>
<ds:datastoreItem xmlns:ds="http://schemas.openxmlformats.org/officeDocument/2006/customXml" ds:itemID="{237D1CAA-F759-4083-B685-1FDC16EDF71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COVER PAGE</vt:lpstr>
      <vt:lpstr>UPDATES</vt:lpstr>
      <vt:lpstr>INCLUSION CRITERION</vt:lpstr>
      <vt:lpstr>NI CLIENT NOTES</vt:lpstr>
      <vt:lpstr>MAPPING</vt:lpstr>
      <vt:lpstr>FREQ BEGIN</vt:lpstr>
      <vt:lpstr>PREVIOUS MAPPING</vt:lpstr>
      <vt:lpstr>DESC</vt:lpstr>
      <vt:lpstr>SOURCE</vt:lpstr>
      <vt:lpstr>UPDATES!OLE_LINK5</vt:lpstr>
      <vt:lpstr>'FREQ BEGIN'!Print_Area</vt:lpstr>
      <vt:lpstr>'INCLUSION CRITERION'!Print_Area</vt:lpstr>
      <vt:lpstr>MAPPING!Print_Area</vt:lpstr>
      <vt:lpstr>'PREVIOUS MAPPING'!Print_Area</vt:lpstr>
      <vt:lpstr>SOURCE!Print_Area</vt:lpstr>
      <vt:lpstr>UPDATES!Print_Area</vt:lpstr>
      <vt:lpstr>MAPPING!Print_Titles</vt:lpstr>
      <vt:lpstr>'PREVIOUS MAPPING'!Print_Titles</vt:lpstr>
    </vt:vector>
  </TitlesOfParts>
  <Manager/>
  <Company>Thomson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DIST - NFS MASTER</dc:title>
  <dc:subject/>
  <dc:creator>Michael Hoyt</dc:creator>
  <cp:keywords/>
  <dc:description/>
  <cp:lastModifiedBy>Sandra Bennett</cp:lastModifiedBy>
  <cp:revision/>
  <dcterms:created xsi:type="dcterms:W3CDTF">2013-07-31T19:09:17Z</dcterms:created>
  <dcterms:modified xsi:type="dcterms:W3CDTF">2025-07-07T14:04:56Z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0x01010051B747BAA6AA1A4BA9876108A94F04F6</vt:lpwstr>
  </property>
  <property fmtid="{D5CDD505-2E9C-101B-9397-08002B2CF9AE}" pid="3" name="Archive">
    <vt:lpwstr/>
  </property>
  <property fmtid="{D5CDD505-2E9C-101B-9397-08002B2CF9AE}" pid="4" name="Category?">
    <vt:lpwstr/>
  </property>
  <property fmtid="{D5CDD505-2E9C-101B-9397-08002B2CF9AE}" pid="5" name="Notes0">
    <vt:lpwstr/>
  </property>
  <property fmtid="{D5CDD505-2E9C-101B-9397-08002B2CF9AE}" pid="6" name="display_urn:schemas-microsoft-com:office:office#Editor">
    <vt:lpwstr>Torres, Elvira I.</vt:lpwstr>
  </property>
  <property fmtid="{D5CDD505-2E9C-101B-9397-08002B2CF9AE}" pid="7" name="xd_Signature">
    <vt:lpwstr/>
  </property>
  <property fmtid="{D5CDD505-2E9C-101B-9397-08002B2CF9AE}" pid="8" name="Order">
    <vt:lpwstr>205500.000000000</vt:lpwstr>
  </property>
  <property fmtid="{D5CDD505-2E9C-101B-9397-08002B2CF9AE}" pid="9" name="TemplateUrl">
    <vt:lpwstr/>
  </property>
  <property fmtid="{D5CDD505-2E9C-101B-9397-08002B2CF9AE}" pid="10" name="xd_ProgID">
    <vt:lpwstr/>
  </property>
  <property fmtid="{D5CDD505-2E9C-101B-9397-08002B2CF9AE}" pid="11" name="display_urn:schemas-microsoft-com:office:office#Author">
    <vt:lpwstr>Torres, Elvira I.</vt:lpwstr>
  </property>
  <property fmtid="{D5CDD505-2E9C-101B-9397-08002B2CF9AE}" pid="12" name="ComplianceAssetId">
    <vt:lpwstr/>
  </property>
  <property fmtid="{D5CDD505-2E9C-101B-9397-08002B2CF9AE}" pid="13" name="_ExtendedDescription">
    <vt:lpwstr/>
  </property>
  <property fmtid="{D5CDD505-2E9C-101B-9397-08002B2CF9AE}" pid="14" name="MSIP_Label_defa4170-0d19-0005-0004-bc88714345d2_Enabled">
    <vt:lpwstr>true</vt:lpwstr>
  </property>
  <property fmtid="{D5CDD505-2E9C-101B-9397-08002B2CF9AE}" pid="15" name="MSIP_Label_defa4170-0d19-0005-0004-bc88714345d2_SetDate">
    <vt:lpwstr>2024-01-17T20:55:05Z</vt:lpwstr>
  </property>
  <property fmtid="{D5CDD505-2E9C-101B-9397-08002B2CF9AE}" pid="16" name="MSIP_Label_defa4170-0d19-0005-0004-bc88714345d2_Method">
    <vt:lpwstr>Standard</vt:lpwstr>
  </property>
  <property fmtid="{D5CDD505-2E9C-101B-9397-08002B2CF9AE}" pid="17" name="MSIP_Label_defa4170-0d19-0005-0004-bc88714345d2_Name">
    <vt:lpwstr>defa4170-0d19-0005-0004-bc88714345d2</vt:lpwstr>
  </property>
  <property fmtid="{D5CDD505-2E9C-101B-9397-08002B2CF9AE}" pid="18" name="MSIP_Label_defa4170-0d19-0005-0004-bc88714345d2_SiteId">
    <vt:lpwstr>858a526a-24f7-4f84-9735-cd447d7035ca</vt:lpwstr>
  </property>
  <property fmtid="{D5CDD505-2E9C-101B-9397-08002B2CF9AE}" pid="19" name="MSIP_Label_defa4170-0d19-0005-0004-bc88714345d2_ActionId">
    <vt:lpwstr>910434c7-4f14-4265-82f5-637a5be8565b</vt:lpwstr>
  </property>
  <property fmtid="{D5CDD505-2E9C-101B-9397-08002B2CF9AE}" pid="20" name="MSIP_Label_defa4170-0d19-0005-0004-bc88714345d2_ContentBits">
    <vt:lpwstr>0</vt:lpwstr>
  </property>
  <property fmtid="{D5CDD505-2E9C-101B-9397-08002B2CF9AE}" pid="21" name="MediaServiceImageTags">
    <vt:lpwstr/>
  </property>
</Properties>
</file>