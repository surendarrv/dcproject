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filterPrivacy="1" defaultThemeVersion="124226"/>
  <xr:revisionPtr revIDLastSave="131" documentId="8_{841E0907-12AB-459C-B7FB-5A7BD9B103BA}" xr6:coauthVersionLast="47" xr6:coauthVersionMax="47" xr10:uidLastSave="{AE86DE5E-1093-465C-B263-DC8FFC0DA285}"/>
  <bookViews>
    <workbookView xWindow="9300" yWindow="-12435" windowWidth="17280" windowHeight="8880" tabRatio="698" activeTab="1" xr2:uid="{00000000-000D-0000-FFFF-FFFF00000000}"/>
  </bookViews>
  <sheets>
    <sheet name="COVER PAGE" sheetId="17" r:id="rId1"/>
    <sheet name="UPDATES" sheetId="13" r:id="rId2"/>
    <sheet name="NI CLIENT NOTES" sheetId="14" r:id="rId3"/>
    <sheet name="MAPPING" sheetId="7" r:id="rId4"/>
    <sheet name="TABLE A $ RANGE" sheetId="18" r:id="rId5"/>
    <sheet name="TABLE C ASSOC FIELDS" sheetId="23" r:id="rId6"/>
    <sheet name="TABLE D TIME NEEDS" sheetId="25" r:id="rId7"/>
    <sheet name="PREVIOUS MAPPING" sheetId="1" r:id="rId8"/>
    <sheet name="TABLE B OCCU" sheetId="19" r:id="rId9"/>
  </sheets>
  <externalReferences>
    <externalReference r:id="rId10"/>
  </externalReferences>
  <definedNames>
    <definedName name="_xlnm._FilterDatabase" localSheetId="3" hidden="1">MAPPING!$A$1:$U$107</definedName>
    <definedName name="_xlnm._FilterDatabase" localSheetId="7" hidden="1">'PREVIOUS MAPPING'!$A$1:$H$103</definedName>
    <definedName name="conv" localSheetId="0">#REF!</definedName>
    <definedName name="conv" localSheetId="4">#REF!</definedName>
    <definedName name="conv" localSheetId="5">#REF!</definedName>
    <definedName name="conv">#REF!</definedName>
    <definedName name="convert" localSheetId="0">'[1]Broadridge - Options'!#REF!</definedName>
    <definedName name="convert" localSheetId="4">'[1]Broadridge - Options'!#REF!</definedName>
    <definedName name="convert" localSheetId="5">'[1]Broadridge - Options'!#REF!</definedName>
    <definedName name="convert">'[1]Broadridge - Options'!#REF!</definedName>
    <definedName name="OLE_LINK5" localSheetId="1">UPDATES!$D$5</definedName>
    <definedName name="_xlnm.Print_Area" localSheetId="0">'COVER PAGE'!$A$1:$C$24</definedName>
    <definedName name="_xlnm.Print_Area" localSheetId="3">MAPPING!$A$1:$K$107</definedName>
    <definedName name="_xlnm.Print_Area" localSheetId="7">'PREVIOUS MAPPING'!$A$1:$I$103</definedName>
    <definedName name="_xlnm.Print_Area" localSheetId="4">'TABLE A $ RANGE'!$A$1:$O$42</definedName>
    <definedName name="_xlnm.Print_Area" localSheetId="1">UPDATES!$A$1:$D$35</definedName>
    <definedName name="_xlnm.Print_Titles" localSheetId="3">MAPPING!$1:$1</definedName>
    <definedName name="_xlnm.Print_Titles" localSheetId="7">'PREVIOUS MAPPING'!$1:$1</definedName>
    <definedName name="Z_02280CA5_0044_4FC6_97AF_494789BF2E49_.wvu.PrintTitles" localSheetId="1" hidden="1">UPDATES!$A$1:$IR$1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25" l="1"/>
  <c r="E16" i="25" l="1"/>
  <c r="H10" i="23"/>
  <c r="D10" i="23"/>
  <c r="J51" i="18"/>
  <c r="J21" i="18"/>
  <c r="E21"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2" authorId="0" shapeId="0" xr:uid="{6166CFDA-C0DA-41BC-B94B-99CB2BF56024}">
      <text>
        <r>
          <rPr>
            <b/>
            <sz val="9"/>
            <color indexed="81"/>
            <rFont val="Tahoma"/>
            <family val="2"/>
          </rPr>
          <t xml:space="preserve">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50" authorId="0" shapeId="0" xr:uid="{6FA3E941-6AAA-4102-88D2-B344D6032ACE}">
      <text>
        <r>
          <rPr>
            <b/>
            <sz val="9"/>
            <color indexed="81"/>
            <rFont val="Tahoma"/>
            <family val="2"/>
          </rPr>
          <t>Author:</t>
        </r>
        <r>
          <rPr>
            <sz val="9"/>
            <color indexed="81"/>
            <rFont val="Tahoma"/>
            <family val="2"/>
          </rPr>
          <t xml:space="preserve">
1st time used in 11/2014 for the RWB conversion
</t>
        </r>
      </text>
    </comment>
  </commentList>
</comments>
</file>

<file path=xl/sharedStrings.xml><?xml version="1.0" encoding="utf-8"?>
<sst xmlns="http://schemas.openxmlformats.org/spreadsheetml/2006/main" count="3099" uniqueCount="592">
  <si>
    <t>Created:</t>
  </si>
  <si>
    <t>Updated:</t>
  </si>
  <si>
    <t>FARM/Parameter Dependencies:</t>
  </si>
  <si>
    <t>FARM APCS</t>
  </si>
  <si>
    <t>Firm Number:</t>
  </si>
  <si>
    <t>Sub Number:</t>
  </si>
  <si>
    <t>Primary BETA Contact:</t>
  </si>
  <si>
    <t xml:space="preserve"> </t>
  </si>
  <si>
    <t>Primary CLIENT Contact:</t>
  </si>
  <si>
    <t xml:space="preserve">Input File(s): </t>
  </si>
  <si>
    <t xml:space="preserve">Copybook: </t>
  </si>
  <si>
    <t>NFSNA101, NFSNA107</t>
  </si>
  <si>
    <t>NFSUTFD</t>
  </si>
  <si>
    <t>NFSFFR</t>
  </si>
  <si>
    <t>Internal Use Only:</t>
  </si>
  <si>
    <t>Test region:</t>
  </si>
  <si>
    <t>Production Region:</t>
  </si>
  <si>
    <t>Test Series:</t>
  </si>
  <si>
    <t>X</t>
  </si>
  <si>
    <t>Production Series:</t>
  </si>
  <si>
    <t xml:space="preserve">   </t>
  </si>
  <si>
    <t>DATE</t>
  </si>
  <si>
    <t xml:space="preserve">Remedy Task </t>
  </si>
  <si>
    <t>NI</t>
  </si>
  <si>
    <t>UPDATES</t>
  </si>
  <si>
    <t>Change Date</t>
  </si>
  <si>
    <t>BETA Remedy Task #</t>
  </si>
  <si>
    <t>Begin</t>
  </si>
  <si>
    <t>PIC</t>
  </si>
  <si>
    <t>DEMO Field Name</t>
  </si>
  <si>
    <t>BETA Field Name</t>
  </si>
  <si>
    <t xml:space="preserve">BETA Description/Value(s)
(As of Today’s Date)
</t>
  </si>
  <si>
    <t>NFS Field Name</t>
  </si>
  <si>
    <t>BETA Only Notes</t>
  </si>
  <si>
    <t>Mapping Instructions for Programmer</t>
  </si>
  <si>
    <t>T</t>
  </si>
  <si>
    <t>SRC</t>
  </si>
  <si>
    <t>Client Change Requests</t>
  </si>
  <si>
    <t>Client Only Notes</t>
  </si>
  <si>
    <t>Option #1</t>
  </si>
  <si>
    <t>Option #2</t>
  </si>
  <si>
    <t>Option #3</t>
  </si>
  <si>
    <t>Option #4</t>
  </si>
  <si>
    <t>Option #5</t>
  </si>
  <si>
    <t>X(50)</t>
  </si>
  <si>
    <t>DE-DEMO-KEY-AREA</t>
  </si>
  <si>
    <t>O</t>
  </si>
  <si>
    <t>1. Move NAACCT-NO (beg 3-7).</t>
  </si>
  <si>
    <t>9(8)</t>
  </si>
  <si>
    <t>DEMO-ACCT</t>
  </si>
  <si>
    <t>Customer account number for the primary account.</t>
  </si>
  <si>
    <t xml:space="preserve">NA file RECORD-SEGMENT (col 14-16) =101 
NFS-101-BRANCH (col 5-7)+ NFS-101-ACC-NO-PARTIAL (col 8-12) + NFS-101-ACC-NO-CHKDG (col 13).
</t>
  </si>
  <si>
    <t>R</t>
  </si>
  <si>
    <t>BDATE</t>
  </si>
  <si>
    <t>DEMO-B-CYMD</t>
  </si>
  <si>
    <t xml:space="preserve">Birth date of the primary account holder.
</t>
  </si>
  <si>
    <t>FFRS file 
NFS-FFR-BIRTH-DATE-SHADOW1 (col 390-397)</t>
  </si>
  <si>
    <t xml:space="preserve">1.  FFRS file NFS-FFR-BIRTH-DATE-SHADOW1 (col 390-397)
If blank and INST=A, I, J, O, S, U, or Y, then default to 01/01/1901.
</t>
  </si>
  <si>
    <t xml:space="preserve">2.  Intiialize to low values.
FFRS file NFS-FFR-BIRTH-DATE-SHADOW1 (col 390-397), if valid and greater than zero and less than current date.
</t>
  </si>
  <si>
    <t>SEX</t>
  </si>
  <si>
    <t>DEMO-SEX</t>
  </si>
  <si>
    <t xml:space="preserve">One-character alphabetic code indicating the gender of the primary account holder. Suggested codes appear below.
F = Female
M = Male
N = Not applicable (default)
</t>
  </si>
  <si>
    <t xml:space="preserve"> 1.  Initialize to Low Values</t>
  </si>
  <si>
    <t>X(30)</t>
  </si>
  <si>
    <t>EMP-NAME</t>
  </si>
  <si>
    <t>DEMO-EMP-NAME</t>
  </si>
  <si>
    <t xml:space="preserve">Customer employer. Up to 30 characters are allowed.
</t>
  </si>
  <si>
    <r>
      <t xml:space="preserve"> BOOKRECS file 
NFS-BOOK-BRBTCH-AFF-MLG-LBL-1 (col 1073-1122)
</t>
    </r>
    <r>
      <rPr>
        <sz val="9"/>
        <color indexed="10"/>
        <rFont val="Arial"/>
        <family val="2"/>
      </rPr>
      <t>NAME FILE  (POS 14-16) = 107
AFF-107-EMP-NAME-ADDR(1) 
(col 51-82)</t>
    </r>
  </si>
  <si>
    <t xml:space="preserve"> 2. BOOKRECS file NFS-BOOK-BRBTCH-AFF-MLG-LBL-1 (col 1073-1122)</t>
  </si>
  <si>
    <t xml:space="preserve">3. If 107 move
AFF-107-EMP-NAME-ADDR(1) (col 51-82)
</t>
  </si>
  <si>
    <t>ADDRESS</t>
  </si>
  <si>
    <t>DEMO-EMP-ADDR</t>
  </si>
  <si>
    <t xml:space="preserve">Customer employer's street address. Up to 30 characters are allowed.
</t>
  </si>
  <si>
    <r>
      <t xml:space="preserve">BOOKRECS file 
NFS-BOOK-BRBTCH-AFF-ADDR-1 (col 1223-1272)
</t>
    </r>
    <r>
      <rPr>
        <sz val="9"/>
        <color indexed="10"/>
        <rFont val="Arial"/>
        <family val="2"/>
      </rPr>
      <t xml:space="preserve">NAME FILE (POS 14-16) = 107
AFF-107-EMP-NAME-ADDR(2)  (col 83-114)  </t>
    </r>
    <r>
      <rPr>
        <sz val="9"/>
        <color indexed="8"/>
        <rFont val="Arial"/>
        <family val="2"/>
      </rPr>
      <t xml:space="preserve">
</t>
    </r>
  </si>
  <si>
    <t xml:space="preserve"> 2. BOOKRECS file NFS-BOOK-BRBTCH-AFF-ADDR-1 (col 1223-1272)</t>
  </si>
  <si>
    <t xml:space="preserve">3. If 107 move
AFF-107-EMP-NAME-ADDR(2)  (col 83-114)  </t>
  </si>
  <si>
    <t>CITY</t>
  </si>
  <si>
    <t>DEMO-EMP-CITY</t>
  </si>
  <si>
    <t xml:space="preserve">City in which the customer employer is located. Up to 30 characters are allowed. 
</t>
  </si>
  <si>
    <r>
      <t xml:space="preserve">BOOKRECS file 
NFS-BOOK-BRBTCH-AFF-CITY-NM (col 1333-1362)
</t>
    </r>
    <r>
      <rPr>
        <sz val="9"/>
        <color indexed="10"/>
        <rFont val="Arial"/>
        <family val="2"/>
      </rPr>
      <t xml:space="preserve">NAME FILE (POS 14-16) = 107
AFF-107-EMP-NAME-ADDR(1)  (col 51-82)  
AFF-107-EMP-NAME-ADDR(2)  (col 83-114)  
AFF-107-EMP-NAME-ADDR(3)  (col 83-114)  
AFF-107-EMP-NAME-ADDR(4)  (col 83-114)  </t>
    </r>
  </si>
  <si>
    <t xml:space="preserve"> 2.  BOOKRECS file NFS-BOOK-BRBTCH-AFF-CITY-NM (col 1333-1362)</t>
  </si>
  <si>
    <t xml:space="preserve">3. If 107 move
AFF-107-EMP-NAME-ADDR(1) thru (4) to return an NA-CITY value  </t>
  </si>
  <si>
    <t>X(2)</t>
  </si>
  <si>
    <t>STATE</t>
  </si>
  <si>
    <t>DEMO-EMP-STATE</t>
  </si>
  <si>
    <t xml:space="preserve">Two-character state abbreviation
 identifying the state in which the employer is located.
</t>
  </si>
  <si>
    <r>
      <t xml:space="preserve">BOOKRECS file 
NFS-BOOK-BRBTCH-AFF-ST-C (col 1363-1364)
</t>
    </r>
    <r>
      <rPr>
        <sz val="9"/>
        <color indexed="10"/>
        <rFont val="Arial"/>
        <family val="2"/>
      </rPr>
      <t>NAME FILE (POS 14-16) = 107</t>
    </r>
  </si>
  <si>
    <t xml:space="preserve"> 2. BOOKRECS file NFS-BOOK-BRBTCH-AFF-ST-C (col 1363-1364)</t>
  </si>
  <si>
    <t>3. If 107 move NAP-STATE based on subroutine used in DEMO-EMPL-CITY.</t>
  </si>
  <si>
    <t>9(5)</t>
  </si>
  <si>
    <t>DEMO-EMP-ZIP-5</t>
  </si>
  <si>
    <t>Customer employer’s zip code.</t>
  </si>
  <si>
    <t xml:space="preserve">BOOKRECS file 
NFS-BOOK-BRBTCH-AFF-ZIP-C (col 1365-1369)
</t>
  </si>
  <si>
    <t xml:space="preserve"> 2. BOOKRECS file NFS-BOOK-BRBTCH-AFF-ZIP-C (col 1365-1369)</t>
  </si>
  <si>
    <t>3. If 107 move  NAP-ZIP STATE based on subroutine used in DEMO-EMPL-CITY.</t>
  </si>
  <si>
    <t>DEMO-EMP-ZIP-4</t>
  </si>
  <si>
    <t>Customer employer’s zip code plus 4.</t>
  </si>
  <si>
    <t>BOOKRECS file 
NFS-BOOK-BRBTCH-AFF-ZIP-C-2 (col 1370-1373)</t>
  </si>
  <si>
    <t xml:space="preserve"> 2.  BOOKRECS file NFS-BOOK-BRBTCH-AFF-ZIP-C-2 (col 1370-1373)</t>
  </si>
  <si>
    <t>BUS-NATURE</t>
  </si>
  <si>
    <t>DEMO-BUS-NATURE</t>
  </si>
  <si>
    <t xml:space="preserve">One-character code indicating the business nature of the customer’s employer. Suggested codes appear below.
A = Finance
B = Manufacturing
C = Wholesale
D = Retail
</t>
  </si>
  <si>
    <t>OCCUPATION</t>
  </si>
  <si>
    <t>DEMO-OCCUPATION</t>
  </si>
  <si>
    <t xml:space="preserve">One-character code indicating the customer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
</t>
  </si>
  <si>
    <t xml:space="preserve"> BOOKREC File: 
NFS-BRBTCH-CUS-EMP-OCCP-X (col 1963-1994)</t>
  </si>
  <si>
    <t xml:space="preserve"> 2.  See Table B OCCU</t>
  </si>
  <si>
    <t>9(2)</t>
  </si>
  <si>
    <t>YEARS-EMPL</t>
  </si>
  <si>
    <t>DEMO-YEARS-EMP</t>
  </si>
  <si>
    <t xml:space="preserve">Number of years the customer has been employed with the listed employer. Up to two digits are allowed.
</t>
  </si>
  <si>
    <t>DEMO-S-B-CYMD</t>
  </si>
  <si>
    <t xml:space="preserve">Birth date of the spouse.
</t>
  </si>
  <si>
    <t>DEMO-S-EMP-NAME</t>
  </si>
  <si>
    <t xml:space="preserve">Spouse employer. Up to 30 characters are allowed.
</t>
  </si>
  <si>
    <t>DEMO-S-EMP-ADDR</t>
  </si>
  <si>
    <t xml:space="preserve">Spouse employer's street address. Up to 30 characters are allowed. 
</t>
  </si>
  <si>
    <t>DEMO-S-EMP-CITY</t>
  </si>
  <si>
    <t xml:space="preserve">City in which the spouse employer is located. Up to 30 characters are allowed. 
</t>
  </si>
  <si>
    <t>DEMO-S-EMP-STATE</t>
  </si>
  <si>
    <t xml:space="preserve">Two-character state abbreviation identifying the state in which the employer is located.
</t>
  </si>
  <si>
    <t>DEMO-S-EMP-ZIP-5</t>
  </si>
  <si>
    <t>Spouse employer’s zip code.</t>
  </si>
  <si>
    <t>DEMO-S-EMP-ZIP-4</t>
  </si>
  <si>
    <t>Spouse employer’s zip code+4.</t>
  </si>
  <si>
    <t>DEMO-S-BUS-NATURE</t>
  </si>
  <si>
    <t xml:space="preserve">One-character code indicating the business nature of the spouse employers. Suggested codes appear below.
A = Finance
B = Manufacturing
C = Wholesale
D = Retail
</t>
  </si>
  <si>
    <t>DEMO-S-OCCUPATION</t>
  </si>
  <si>
    <t>One-character code indicating the spouse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t>
  </si>
  <si>
    <t>2. See Table B OCCU</t>
  </si>
  <si>
    <t>DEMO-S-YEARS-EMP</t>
  </si>
  <si>
    <t xml:space="preserve">Number of years spouse has been employed . Up to two digits are allowed. 
</t>
  </si>
  <si>
    <t>SPOUSE-APPROX-INCOME</t>
  </si>
  <si>
    <t>DEMO-S-NET-INCOME</t>
  </si>
  <si>
    <t xml:space="preserve">One-character code indicating the approximate annual income of the primary account holder's spouse. Suggested codes appear below.
A = Under $25,000
B = $25,000 to $39,999
C = $40,000 to $49,999
D = $50,000 to $64,999
E = $65,000 to $124,999
F = Over $125,000
Z = Refused to disclose
</t>
  </si>
  <si>
    <t xml:space="preserve">SUIT file
NFS-SUTFD-EST-NET-WRTH  (col 92)           
NFS-SUTFD-EST-NET-WRTH-DLRS
(col 93-105)      
</t>
  </si>
  <si>
    <t>2. See Table A $ Range</t>
  </si>
  <si>
    <t>9(12)</t>
  </si>
  <si>
    <t>DEMO-S-BUS-PHONE</t>
  </si>
  <si>
    <t xml:space="preserve">Spouse's business telephone number as 000-000-0000. 
 </t>
  </si>
  <si>
    <t>MSTAT</t>
  </si>
  <si>
    <t>DEMO-MARITAL-STATUS</t>
  </si>
  <si>
    <t xml:space="preserve">One-character code indicating the marital status of the primary account holder. Suggested codes appear below.
A = Married
B = Single
C = Divorced
D = Widowed
</t>
  </si>
  <si>
    <t xml:space="preserve">SUIT FILE
NFS-SUTFD-MARITAL-STATUS
(col 134)               
</t>
  </si>
  <si>
    <t>2. See Table C Assoc Fields</t>
  </si>
  <si>
    <t>HOME-OWN/RENT</t>
  </si>
  <si>
    <t>DEMO-HOME-OWN-RENT</t>
  </si>
  <si>
    <t xml:space="preserve">One-character code indicating whether the primary account holder owns or rents his/her home. 
Valid values appear below.
O = Owns home
R = Rents home
Space = Unknown (default)
</t>
  </si>
  <si>
    <t>#DEP</t>
  </si>
  <si>
    <t>DEMO-DEPENDANTS</t>
  </si>
  <si>
    <t xml:space="preserve">Number of dependants for the primary account holder. Up to a two-digit number is allowed.
</t>
  </si>
  <si>
    <t xml:space="preserve">SUIT file 
NFS-SUTFD-NBR-DEPENDENTS (col 135-136)
</t>
  </si>
  <si>
    <t xml:space="preserve">2. SUIT file 
NFS-SUTFD-NBR-DEPENDENTS (col 135-136)
</t>
  </si>
  <si>
    <t>TAX-BRACKET</t>
  </si>
  <si>
    <t>DEMO-TAX-BRACKET</t>
  </si>
  <si>
    <t xml:space="preserve">Two-digit code indicating the tax bracket of the primary account holder.
</t>
  </si>
  <si>
    <t xml:space="preserve">SUIT file
NFS-SUTFD-TAX-BRACKET (col 170)  </t>
  </si>
  <si>
    <t>REFERRAL</t>
  </si>
  <si>
    <t>DEMO-REFERENCES</t>
  </si>
  <si>
    <t xml:space="preserve">One-character code indicating how the customer was referred. Suggested codes appear below.
A = Firm
B = Broker
C = Professional
D = Other
</t>
  </si>
  <si>
    <t>ACCT-ACQUIRED</t>
  </si>
  <si>
    <t>DEMO-ACCT-ACQUIRED</t>
  </si>
  <si>
    <t xml:space="preserve">One-character code indicating how the primary account was acquired. Suggested codes appear below.
A = Walk in
B = Phone in
C = Known personally
D = Print advertisement
E = TV advertisement
F = Radio announcement
G = Direct mail
H = Telephone solicitation
I = Specific promotion
J = Other
</t>
  </si>
  <si>
    <t>ANNUAL INCOME</t>
  </si>
  <si>
    <t>DEMO-NET-INCOME</t>
  </si>
  <si>
    <t>One-character code indicating the estimated combined household income for the primary account holder and spouse.  Suggested codes appear below.
A = Under $25,000
B = $25,000 to $39,999
C = $40,000 to $49,999
D = $50,000 to $64,999
E = $65,000 to $124,999
F = over $125,000
Z = Refused to disclose</t>
  </si>
  <si>
    <t xml:space="preserve">SUIT FILE
NFS-SUTFD-ANN-INC
 (col 78)       
NFS-SUTFD-ANN-INC-DLRS
(col 79-91) </t>
  </si>
  <si>
    <t>EST-VALUE-INVESTMENT</t>
  </si>
  <si>
    <t>DEMO-LIQ-NET</t>
  </si>
  <si>
    <t xml:space="preserve">One-character code indicating the estimated value of all investments held by the primary account holder and spouse.  Suggested codes appear below.
A = Less than $10,000
B = $10,000 to $24,999
C = $25,000 to $49,999
D = $50,000 to $199,999
E = $200,000 to $499,999
F = Over $500,000
Z = Refused to disclose
</t>
  </si>
  <si>
    <t xml:space="preserve">SUIT FILE
NFS-SUTFD-INV-ASSETS 
 (col 106)            
 NFS-SUTFD-INV-ASSETS-DLRS
(col 107-133)
</t>
  </si>
  <si>
    <t>STOCK</t>
  </si>
  <si>
    <t>DEMO-INVEST-EXPERIENCE-STK</t>
  </si>
  <si>
    <t xml:space="preserve">One-character code indicating the length of investment experience in stocks. Suggested codes appear below.
A = Less than one year
B = 1-5 years
C = Over 5 years
</t>
  </si>
  <si>
    <t>SUIT FILE
NFS-SUTFD-STOCKS-KNOW-C
(col 241-242)</t>
  </si>
  <si>
    <t>OPTION</t>
  </si>
  <si>
    <t>DEMO-INVEST-EXPERIENCE-OPT</t>
  </si>
  <si>
    <t xml:space="preserve">The one-character code in this field identifies the length of investment experience this customer has in options.  This field is automatically completed if a code was entered in the OPT-EXP field on BORA and can be updated on BACT or DEMO.  When the code is updated on BACT, the code in this field will automatically be updated.  Similarly, when this field is updated, the code in the OPT-EXP field on BACT will automatically be updated.  Suggested codes appear below.
A = Less than one year
B = 1-5 years
C = Over 5 years
</t>
  </si>
  <si>
    <t>SUIT FILE
NFS-SUTFD-OPTIONS-KNOW-C
(col 253-254)</t>
  </si>
  <si>
    <t>MUTUAL-FUND</t>
  </si>
  <si>
    <t>DEMO-INVEST-EXPERIENCE-MMF</t>
  </si>
  <si>
    <t xml:space="preserve">One-character code indicating the length of investment experience in mutual funds. Suggested codes appear below.
A = Less than one year
B = 1-5 years
C = Over 5 years
</t>
  </si>
  <si>
    <t>SUIT FILE
NFS-SUTFD-MUT-FUNDS-KNOW-C
(col 250-251)</t>
  </si>
  <si>
    <t>ANNUITY/LIFE INS</t>
  </si>
  <si>
    <t>DEMO-INVEST-EXPERIENCE-ANN</t>
  </si>
  <si>
    <t xml:space="preserve">One character code indicating the length of investment experience in annuities/life insurance. Suggested codes appear below.
A = Less than one year
B = 1-5 years
C = Over 5 years
</t>
  </si>
  <si>
    <t>SUIT FILE
NFS-SUTFD-ANNUITIES-KNOW-C
(col 268-269)</t>
  </si>
  <si>
    <t>9(9)</t>
  </si>
  <si>
    <t>INITIAL-TRAN</t>
  </si>
  <si>
    <t>DEMO-INITIAL TRANS</t>
  </si>
  <si>
    <t xml:space="preserve">Dollar amount of the initial transaction. Up to nine digits can be entered, as 9999999999.
</t>
  </si>
  <si>
    <t>EST-AMT-PLAN-INVEST</t>
  </si>
  <si>
    <t>DEMO-PLANNED-INVEST-AMT</t>
  </si>
  <si>
    <t xml:space="preserve">One-character code indicating an estimated investment range. Suggested codes appear below.
A = Under $25,000
B = $25,000 to $39,999
C = $40,000 to $49,999
D = $50,000 to $64,999
E = $65,000 to $124,999
F = Over $125,000
</t>
  </si>
  <si>
    <t>Determine who custodian or trustee will be.
If firm is custodian, refer to IRA TITLING TABLE (NAINST = 'I').
If Delaware Charter is TTEE (NAINST = 'Y'), refer to Option 2  for suggestions.</t>
  </si>
  <si>
    <t>NET WORTH</t>
  </si>
  <si>
    <t>DEMO-NET-WORTH</t>
  </si>
  <si>
    <t>One-character code indicating the estimated size of the account.  Firm defined.  The values for this field can be defined on FARM APCS.  Suggested codes appear below.
A = Less than $10,000
B = $10,000 to $24,999
C = $25,000 to $49,999
D = $50,000 to $199,999
E = $200,000 to $499,999
F = Over $500,000</t>
  </si>
  <si>
    <t>CLIENT PERSONALLY MET</t>
  </si>
  <si>
    <t>DEMO-CLIENT-MET</t>
  </si>
  <si>
    <t xml:space="preserve">X in this field indicates that the customer has been met in person.
</t>
  </si>
  <si>
    <t>CORP-OFFICER</t>
  </si>
  <si>
    <t>DEMO-CORP-OFFICER</t>
  </si>
  <si>
    <t xml:space="preserve">X in this field indicates that the account is held by a corporate officer.
</t>
  </si>
  <si>
    <t xml:space="preserve"> If NA file 107 
AFF-107-CUSIP(1) (col 341-348)
AFF-107-RELATIONSHIP CODE(1) (col 308) </t>
  </si>
  <si>
    <t>2.  If BETA field ADM-CONTROL-CUSIP1, 
ADM-CONTROL-CUSIP2, 
Or
 ADM-CONTROL-CUSIP3 is populated, then X, else ignore.</t>
  </si>
  <si>
    <t xml:space="preserve">3. See Table C ASSOC FIELDS
</t>
  </si>
  <si>
    <t>DEMO-NASD-CLASSIFIED</t>
  </si>
  <si>
    <t>EDUCATION LEVEL</t>
  </si>
  <si>
    <t>DEMO-EDUCATION-LEVEL</t>
  </si>
  <si>
    <t xml:space="preserve">One-character code indicating the level of education attained by the primary account holder. Suggested codes appear below.
A = High school graduate
B = Post secondary study
C = Two-year degree
D = College graduate
E = Post graduate study
F = Advanced degree
G = Other
</t>
  </si>
  <si>
    <t>RETIRED</t>
  </si>
  <si>
    <t>DEMO-RETIRED</t>
  </si>
  <si>
    <t xml:space="preserve">‘X’ in this field indicates that the customer is retired.
</t>
  </si>
  <si>
    <t>2. See Table C ASSOC FIELDS</t>
  </si>
  <si>
    <t>OWNER</t>
  </si>
  <si>
    <t>DEMO-POLICY-OWNER</t>
  </si>
  <si>
    <t xml:space="preserve">X in this field indicates the customer has purchased an insurance and annuities product.
</t>
  </si>
  <si>
    <t>SUIT FILE:
NFS-SUTFD-ANNUITIES-TXN-CNT (pos 273)</t>
  </si>
  <si>
    <t xml:space="preserve">2.  if NFS-SUTFD-ANNUITIES-TXN-CNT (pos 273) is greater than spaces 
Move '?'  
 </t>
  </si>
  <si>
    <t>9(3)</t>
  </si>
  <si>
    <t>DEMO-T-FIRM</t>
  </si>
  <si>
    <t>Transmission firm number</t>
  </si>
  <si>
    <t>DEMO-T-ACCT</t>
  </si>
  <si>
    <t>Transmission account number</t>
  </si>
  <si>
    <t>X(3)</t>
  </si>
  <si>
    <t>UPDATED BY</t>
  </si>
  <si>
    <t>DEMO-UPDATE-WHO</t>
  </si>
  <si>
    <t xml:space="preserve">Initials of the individual who last updated this record.   (The value in this field is system generated online.)
</t>
  </si>
  <si>
    <t>Set to EDP</t>
  </si>
  <si>
    <t>G</t>
  </si>
  <si>
    <t>1.  System generated</t>
  </si>
  <si>
    <t>X(4)</t>
  </si>
  <si>
    <t>TERM</t>
  </si>
  <si>
    <t>DEMO-UPDATE-TERM</t>
  </si>
  <si>
    <t xml:space="preserve">Terminal on which the last update was made.  (The value in this field is system generated online.)
</t>
  </si>
  <si>
    <t>Set to CONV</t>
  </si>
  <si>
    <t>DEMO-UPDATE-CYMD</t>
  </si>
  <si>
    <t xml:space="preserve">Date on which the last update was made.   (The value in this field is system generated online.)
</t>
  </si>
  <si>
    <t>Set to run date of conversion</t>
  </si>
  <si>
    <t>DEMO-ADD-CYMD</t>
  </si>
  <si>
    <t xml:space="preserve">Date the screen was added.  
</t>
  </si>
  <si>
    <t>X(79)</t>
  </si>
  <si>
    <t>DEMO-NOTE1</t>
  </si>
  <si>
    <t>Up to six lines of free-form notes about the account.</t>
  </si>
  <si>
    <t>NAME FILE: 107 RECORD
AFF-107-OCCUPATION  (COL 19-50)</t>
  </si>
  <si>
    <t xml:space="preserve">2. if  107 and            
  AFF-107-OCCUPATION is greater than spaces
 then string together 'OCCUPATION = ' and                  
  AFF-107-OCCUPATION </t>
  </si>
  <si>
    <t>DEMO-NOTE2</t>
  </si>
  <si>
    <t>SUIT FILE
NFS-SUTFD-INV-PURP-C (col 208)
NFS-SUTFD-INV-PURP-X  (col 209-240)</t>
  </si>
  <si>
    <t xml:space="preserve">2.  If NFS-SUTFD-INV-PURP-C Pos. 208 is populated &amp; NFS-SUTFD-INV-PURP-X  209-240 is NOT populated  string "INVESTMENT PURPOSE = " and  
Value listed on the TABLE C ASSOC FIELD.
ELSE
If NFS-SUTFD-INV-PURP-C Pos. 208 is populated &amp; NFS-SUTFD-INV-PURP-X  209-240 is populated  string "INVESTMENT PURPOSE = " and  
NFS-SUTFD-INV-PURP-X 
</t>
  </si>
  <si>
    <t>DEMO-NOTE3</t>
  </si>
  <si>
    <t>DEMO-NOTE4</t>
  </si>
  <si>
    <t>DEMO-NOTE5</t>
  </si>
  <si>
    <t>DEMO-NOTE6</t>
  </si>
  <si>
    <t>(E)</t>
  </si>
  <si>
    <t>DEMO-BDATE-ESTIMATED</t>
  </si>
  <si>
    <t xml:space="preserve">‘E’ in this field indicates that the birth date for the primary account holder is estimated. If this field is left blank, the birth date is the actual date. NOTE: This field can only be coded when the BIRTHDATE EDIT field on FARM ACCT is coded Y.
This field cannot be coded for IRA accounts (‘I’ in the INST field). However, when the birth date is coded as estimated and then the institution code is changed to ‘I’ in the INST field on the ACCT Update screen, the system does not display the estimated birth date indicator in this field. The system still reads the indicator to identify that the birth date is estimated for the account. The birth date for an IRA account cannot be estimated; therefore, the system prompts you to remove the code from this field when updating another field on this screen.
</t>
  </si>
  <si>
    <t>X(60)</t>
  </si>
  <si>
    <t>EMAIL ADDRESS1</t>
  </si>
  <si>
    <t>DEMO-E-MAIL-ADDRESS</t>
  </si>
  <si>
    <t xml:space="preserve">E-mail address of the primary account holder (up to 60 characters).
</t>
  </si>
  <si>
    <t>DEMO-OPT-OBJ</t>
  </si>
  <si>
    <t xml:space="preserve">The firm-defined one-alphanumeric character code in this field identifies the customer’s investment objective for investing in options.  This field is automatically completed with the code that was entered on BORA and can be updated on either BACT or DEMO.  When the code is updated on BACT, this field will automatically be updated.  Similarly, when this field is updated on DEMO, the code in the OPT-OBJ field on BACT will automatically be updated.
</t>
  </si>
  <si>
    <t>FIRST-OPT-TRADE</t>
  </si>
  <si>
    <t>DEMO-OPT-TRD-DATE</t>
  </si>
  <si>
    <t xml:space="preserve">This field is used to identify the date (as MMDDCCYY or MM/DD/CCYY) on which the first option trade was executed for the account.  
NOTE:  The system will now automatically enter the date when the first option trade is executed for the account if FARM ACCT field OPT TRADE = ‘Y’.  
</t>
  </si>
  <si>
    <t>OPT-PROSP-SENT</t>
  </si>
  <si>
    <t>DEMO-OPT-PRO-DATE</t>
  </si>
  <si>
    <t xml:space="preserve">This field is used to identify the date (as MMDDCCYY or MM/DD/CCYY) on which the option prospectus was sent to the customer.  NOTE:  This field functions independently from the Document Tracking System; therefore, the date on which the option prospectus was sent to the customer must be manually entered.
</t>
  </si>
  <si>
    <t>EMAIL-ADDRESS2</t>
  </si>
  <si>
    <t>DEMO-E-MAIL-ADDRESS2</t>
  </si>
  <si>
    <t>Secondary email address.</t>
  </si>
  <si>
    <t>RISK TOLERANCE</t>
  </si>
  <si>
    <t>DEMO-RISK-TOLERANCE</t>
  </si>
  <si>
    <t xml:space="preserve">This field is used to identify the amount of risk the customer allows for investments within this account. The codes for this field are firm defined, one character, and can be alphabetic or numeric.
</t>
  </si>
  <si>
    <t>SUIT file
NFS-SUTFD-RISK-TOL (col 145)</t>
  </si>
  <si>
    <t>LIQUID NET WORTH</t>
  </si>
  <si>
    <t>DEMO-LIQUID-NET-WORTH</t>
  </si>
  <si>
    <t xml:space="preserve">One-character code indicating the cash available for the account. This field is firm defined. The values for this field can be defined on FARM APCS.  Suggested codes appear below.
A = Less than $10,000
B = $10,000 to $24,999
C = $25,000 to $49,999
D = $50,000 to $199,999
E = $200,000 to $499,999
F = Over $500,000 </t>
  </si>
  <si>
    <t>4/21/2016
Not previously used.</t>
  </si>
  <si>
    <t>DEMO-SEC-OBJECTIVE1</t>
  </si>
  <si>
    <t xml:space="preserve">Firm-defined code that identifies the investment objective of the account. </t>
  </si>
  <si>
    <t>DEMO-SEC-OBJECTIVE2</t>
  </si>
  <si>
    <t>DEMO-SEC-OBJECTIVE3</t>
  </si>
  <si>
    <t>DEMO-SEC-OBJECTIVE4</t>
  </si>
  <si>
    <t>SHOW DISCOUNT</t>
  </si>
  <si>
    <t>DEMO-SHOW-DISCOUNT</t>
  </si>
  <si>
    <t xml:space="preserve">Y = The commission discount value will be displayed on the confirm and statement data files
N = the commission discount value will not be displayed on the confirm and statement data files
Blank = same as ‘N’
NOTE: This field only controls the display of the commission discount value.  It does not control the display of the CONF TRAILER message.  The system will now automatically default a value to this field, depending upon the FARM ACCT field SHOW DISCOUNT.
</t>
  </si>
  <si>
    <t>X(54)</t>
  </si>
  <si>
    <t>CONF TRAILER</t>
  </si>
  <si>
    <t>DEMO-CONF-TRAILER</t>
  </si>
  <si>
    <t xml:space="preserve">Commission Discount Trailer to be passed to confirm and statement data files.  
NOTE: For the trailer to be accepted, the account’s ACCT record must have a standing commission discount in either or all three of the stock, bond, or option discount fields.
</t>
  </si>
  <si>
    <t>X(9)</t>
  </si>
  <si>
    <t>DEMO-CONTROL-CUSIP1</t>
  </si>
  <si>
    <t>The CUSIP number when a customer holds a controlling position in a security.</t>
  </si>
  <si>
    <t>NA file 
AFF-107-RECORD-SEGMENT (col 14-16)=107
AFF-107-CUSIP(1) (col 341-349)</t>
  </si>
  <si>
    <t>2.  NA file AFF-107-RECORD-SEGMENT (col 14-16)=107, convert 
AFF-107-CUSIP(1) (col 341-349)</t>
  </si>
  <si>
    <t>DEMO-CONTROL-CUSIP2</t>
  </si>
  <si>
    <t>NA file 
AFF-107-RECORD-SEGMENT (col 14-16)=107 
AFF-107-CUSIP(2) (col 383-391)</t>
  </si>
  <si>
    <t>2.  NA file AFF-107-RECORD-SEGMENT (col 14-16)=107, convert 
AFF-107-CUSIP(2) (col 383-391)</t>
  </si>
  <si>
    <t>DEMO-CONTROL-CUSIP3</t>
  </si>
  <si>
    <t xml:space="preserve">NA file 
AFF-107-RECORD-SEGMENT (col 14-16)=107 
AFF-107-CUSIP(3) (col 425-433)
</t>
  </si>
  <si>
    <t xml:space="preserve">2.   NA file AFF-107-RECORD-SEGMENT (col 14-16)=107, convert 
AFF-107-CUSIP(3) (col 425-433)
</t>
  </si>
  <si>
    <t>DEMO-NA-COMM-OVERRIDE</t>
  </si>
  <si>
    <t>1. System Generated</t>
  </si>
  <si>
    <t>PERF-RPT</t>
  </si>
  <si>
    <t>DEMO-PERF-RPT</t>
  </si>
  <si>
    <t xml:space="preserve">Identifies if a performance report will be produced by the firm for this account.
Y = account is eligible for a performance report
N = account is not eligible for a performance report (default)
</t>
  </si>
  <si>
    <t xml:space="preserve">X </t>
  </si>
  <si>
    <t>BOND</t>
  </si>
  <si>
    <t>DEMO-INVEST-EXPERIENCE-BND</t>
  </si>
  <si>
    <t xml:space="preserve">One-character code indicating the length of investment experience in bonds/fixed income. Suggested codes appear below.
A = Less than one year
B = 1-5 years
C = Over 5 years
</t>
  </si>
  <si>
    <t>SUIT FILE
NFS-SUTFD-BONDS-KNOW-C
(col 244-245)</t>
  </si>
  <si>
    <t>X(8)</t>
  </si>
  <si>
    <t>FILLER</t>
  </si>
  <si>
    <t>DEMO-DAML-SYNC-SWITCH</t>
  </si>
  <si>
    <t>If a DAML record exists changes to DEMO will be applied to DAML</t>
  </si>
  <si>
    <t>See Mapping Companion for details</t>
  </si>
  <si>
    <t>1. Set to 'N'</t>
  </si>
  <si>
    <t>DEMO-INV-TIME-HORIZON-1</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</si>
  <si>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</si>
  <si>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 xml:space="preserve"> SUIT FILE
NFS-SUTFD-TIME-HORIZON
 (171-171)               
</t>
  </si>
  <si>
    <t>2.  See Table D TIME NEEDS Table</t>
  </si>
  <si>
    <t>DEMO-INV-TIME-HORIZON-2</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</si>
  <si>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</si>
  <si>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DEMO-LIQ-NEEDS-IND</t>
  </si>
  <si>
    <t>Liquidity Needs Indicator                       This field identifies whether amounts in the liquidity needs fields that follows are dollar amounts or percentages of the portfolio.  Field is only required if one or more of the LIQ-NEEDS-DOL-PCT-x fields are populated.
Valid codes are displayed below. 
%   Liquidity need amounts are percentages of the portfolio. 
$    Liquidity need amounts are dollar amounts.
Note: For this to be updated on the DEM3 screen, the field DEMO-DB-UPDATE-IND (Beg 1132) must equal C.</t>
  </si>
  <si>
    <t>1.  Initialize to Low Values</t>
  </si>
  <si>
    <t>2.  Initialize to low values. 
Move % if the DEMO-LIQ-NEEDS-DOL-PCT-* fields is populated</t>
  </si>
  <si>
    <t>3.  Initialize to low values. 
Move $ if the DEMO-LIQ-NEEDS-DOL-PCT-* fields is populated</t>
  </si>
  <si>
    <t>S9(11)</t>
  </si>
  <si>
    <t>DEMO-LIQ-NEEDS-DOL-PCT-1</t>
  </si>
  <si>
    <t>Liquidity Needs Dollar or Percent
Note: For this to be updated on the DEM3 screen, the field DEMO-DB-UPDATE-IND (Beg 1132) must equal C.</t>
  </si>
  <si>
    <t>DEMO-LIQ-NEEDS-TIMEFRM-1</t>
  </si>
  <si>
    <t>Liquidity Needs Timeframe          Firm-defined field related  to DEMO-LIQ-NEEDS-DOL-PCT-1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</si>
  <si>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Note: For this to be updated on the DEM3 screen, the field DEMO-DB-UPDATE-IND (Beg 1132) must equal C.</t>
  </si>
  <si>
    <t>3.  Move ?</t>
  </si>
  <si>
    <t>DEMO-LIQ-NEEDS-DOL-PCT-2</t>
  </si>
  <si>
    <t>Second Liquidity Needs Dollar or Percent
Note: For this to be updated on the DEM3 screen, the field DEMO-DB-UPDATE-IND (Beg 1132) must equal C.</t>
  </si>
  <si>
    <t>DEMO-LIQNEEDS-TIMEFRM-2</t>
  </si>
  <si>
    <t>Second Liquidity Needs Timeframe          Firm-defined field related  to DEMO-LIQ-NEEDS-DOL-PCT-2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</si>
  <si>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DEMO-LIQ-NEEDS-DOL-PCT-3</t>
  </si>
  <si>
    <t>Third Liquidity Needs Dollar or Percent
Note: For this to be updated on the DEM3 screen, the field DEMO-DB-UPDATE-IND (Beg 1132) must equal C.</t>
  </si>
  <si>
    <t>DEMO-LIQ-NEEDS-TIMEFRM-3</t>
  </si>
  <si>
    <t>Third Liquidity Needs Timeframe          Firm-defined field related  to DEMO-LIQ-NEEDS-DOL-PCT-3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</si>
  <si>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DEMO-LIQ-NEEDS-UPDATE-WHO</t>
  </si>
  <si>
    <t>Initials of the individual who last updated this record.  Required if DEMO-LIQ-NEEDS fields are populated.
Note: For this to be updated on the DEM3 screen, the field DEMO-DB-UPDATE-IND (Beg 1132) must equal C.</t>
  </si>
  <si>
    <t>2. Move 'EDP'</t>
  </si>
  <si>
    <t>DEMO-LIQ-NEEDS-UPDATE-TERM</t>
  </si>
  <si>
    <t>Terminal on which the last update was made.  Required if DEMO-LIQ-NEEDS fields are populated.
Note: For this to be updated on the DEM3 screen, the field DEMO-DB-UPDATE-IND (Beg 1132) must equal C.</t>
  </si>
  <si>
    <t>2. Move 'CONV'</t>
  </si>
  <si>
    <t>DEMO-LIQ-NEEDS-UPDATE-CYMD</t>
  </si>
  <si>
    <t>Date on which the last update was made.  Required if DEMO-LIQ-NEEDS fields are populated.
Note: For this to be updated on the DEM3 screen, the field DEMO-DB-UPDATE-IND (Beg 1132) must equal C.</t>
  </si>
  <si>
    <t>2. Move run date of conversion</t>
  </si>
  <si>
    <t>DEMO-DB-UPDATE-IND</t>
  </si>
  <si>
    <t>Indicator to determine what DEMO tables require updating; required only if ADM_EXP record is updated.  BETA field only.
DCM_ADM only – set to space or A       ADM_EXP only – set to B                         If both tables – set to C
Note: This field must equal C for the DEM3 screen to be updated .</t>
  </si>
  <si>
    <t>2. Move ?</t>
  </si>
  <si>
    <t>DEMO-DEPENDANTS-IND-X</t>
  </si>
  <si>
    <t>Allows the value of zeros to show in the DEMO DEPENDANTS field 
Y – zero will display
Spaces – (default)</t>
  </si>
  <si>
    <t>DEMO-STATE-PLAN-CODE-X</t>
  </si>
  <si>
    <t>X(5)</t>
  </si>
  <si>
    <t>DEMO-ACCOUNT-PURPOSE</t>
  </si>
  <si>
    <t>1. Initialize to Zeroes</t>
  </si>
  <si>
    <t>DEMO-LOST-PAYEE</t>
  </si>
  <si>
    <t>X(2399)</t>
  </si>
  <si>
    <t>SIX SEPARATE TABLES</t>
  </si>
  <si>
    <t>#1</t>
  </si>
  <si>
    <t>Return to Mapping</t>
  </si>
  <si>
    <t>#2</t>
  </si>
  <si>
    <t>#3</t>
  </si>
  <si>
    <t xml:space="preserve"> SUIT FILE
NFS-SUTFD-INV-ASSETS
 (col 106-106)           </t>
  </si>
  <si>
    <t xml:space="preserve"> NFS-SUTFD-INV-ASSETS-DLRS
(col 107-133)</t>
  </si>
  <si>
    <t>S-NET-INCOME
(beg 288)
(Screen name
SPOUSE-APPROX-INCOME)</t>
  </si>
  <si>
    <t>Warning Report
Y/N</t>
  </si>
  <si>
    <t xml:space="preserve">SUIT FILE
NFS-SUTFD-ANN-INC
 col 78-78)        </t>
  </si>
  <si>
    <t xml:space="preserve">NFS-SUTFD-ANN-INC-DLRS
(col 79-91)
</t>
  </si>
  <si>
    <t>NET-INCOME
(beg 309)
(Screen name:
ANNUAL INCOME)</t>
  </si>
  <si>
    <t xml:space="preserve"> SUIT FILE
NFS-SUTFD-INV-ASSETS 
 (col 106-106)            
</t>
  </si>
  <si>
    <t xml:space="preserve"> NFS-SUTFD-INV-ASSETS-DLRS
(col 107-133)
</t>
  </si>
  <si>
    <t>LIQ-NET
(beg 310)
(Screen name:
EST-VALUE-INVESTMENT)</t>
  </si>
  <si>
    <t>Default</t>
  </si>
  <si>
    <t> </t>
  </si>
  <si>
    <t>0-Refused    </t>
  </si>
  <si>
    <t>0     (Refused)</t>
  </si>
  <si>
    <t>1-0-50K   </t>
  </si>
  <si>
    <t>1    (&lt;25K)</t>
  </si>
  <si>
    <t>2-50K-100K       </t>
  </si>
  <si>
    <t>2      (25K-50K)   </t>
  </si>
  <si>
    <t>3-100K-500K     </t>
  </si>
  <si>
    <t>3    (50K-100L)</t>
  </si>
  <si>
    <t>4-&gt;500K              </t>
  </si>
  <si>
    <t>4    (&gt;100K)</t>
  </si>
  <si>
    <t>5 (amount provided in corresponding $ column)</t>
  </si>
  <si>
    <t>Note:  enter the dollar ranges for the client and xref to values currently being used)</t>
  </si>
  <si>
    <t>9-Not asked       </t>
  </si>
  <si>
    <t>9     (Not asked)</t>
  </si>
  <si>
    <t xml:space="preserve">blank </t>
  </si>
  <si>
    <t>NFS Values</t>
  </si>
  <si>
    <t>0 – refused</t>
  </si>
  <si>
    <t>1 – less than 50K</t>
  </si>
  <si>
    <t>1 – less than $25K</t>
  </si>
  <si>
    <t>2 – $50K to $100K</t>
  </si>
  <si>
    <t>2 – $25K to $50K</t>
  </si>
  <si>
    <t>3 – $100K to $500K</t>
  </si>
  <si>
    <t>3 – $50K to $100K</t>
  </si>
  <si>
    <t>4 – over $500K</t>
  </si>
  <si>
    <t>4 – over $100K</t>
  </si>
  <si>
    <t>5 – to be provided in EST-NET-WORTH-DLRS</t>
  </si>
  <si>
    <t>5 – to be provided in ANNUAL-INCOME-DLRS</t>
  </si>
  <si>
    <t>5 – to be provided in INV-ASSETS-DLRS</t>
  </si>
  <si>
    <t>9 – not asked</t>
  </si>
  <si>
    <t>10 – not asked</t>
  </si>
  <si>
    <t>#4</t>
  </si>
  <si>
    <t>#5</t>
  </si>
  <si>
    <t>#6</t>
  </si>
  <si>
    <t xml:space="preserve"> SUIT FILE
NFS-SUTFD-EST-NET-WRTH  
1/AN                    
(92-92</t>
  </si>
  <si>
    <t xml:space="preserve">NFS-SUTFD-EST-NET-WRTH-DLRS
(col 93-105)
</t>
  </si>
  <si>
    <t xml:space="preserve">PLANNED-INVEST-AMT
(beg 324)
(Screen name:
EST-AMT-PLAN-INVEST)
</t>
  </si>
  <si>
    <t xml:space="preserve">SUIT FILE
NFS-SUTFD-EST-NET-WRTH 
(col 92)  
</t>
  </si>
  <si>
    <t>NET-WORTH
(beg 325)
(Screen name:
NET WORTH)</t>
  </si>
  <si>
    <t>NOT PREVIOUSLY USED:  
'INITIALIZE TO LOW VALUES'</t>
  </si>
  <si>
    <t>DEMO-LIQUID-NET-WORTH
(beg 979)
(Screen name:
LIQUID NET WORTH)</t>
  </si>
  <si>
    <t>NFS values</t>
  </si>
  <si>
    <t>No field reviously used.</t>
  </si>
  <si>
    <t xml:space="preserve">BOOKRECS file
NFS-BRBTCH-CUS-EMP-OCC-X (col 1963-1994)
BOOKRECS file
NFS-BRBTCH-CUS-EMP-OCC-X (col 1963-1994)
</t>
  </si>
  <si>
    <t>OCCUPATION
(beg 171)</t>
  </si>
  <si>
    <t>7 SEPARATE TABLES</t>
  </si>
  <si>
    <t xml:space="preserve"> SUIT FILE
NFS-SUTFD-MARITAL-STATUS
 (134-134)               
</t>
  </si>
  <si>
    <t>DEMO-MARITAL-STATUS
(beg 301)</t>
  </si>
  <si>
    <t xml:space="preserve">  SUIT file
NFS-SUTFD-TAX-BRACKET (col 170)  </t>
  </si>
  <si>
    <t>DEMO-TAX-BRACKET
(beg 305)</t>
  </si>
  <si>
    <t>PREVIOUSLY NOT USED:  'INITIALIZE TO LOW VALUES'</t>
  </si>
  <si>
    <t>DEMO-ACCT-ACQUIRED
(beg 308)</t>
  </si>
  <si>
    <t>NAME FILE:  107 RECORD
 AFF-107-CUSIP(1) (col 341-348)</t>
  </si>
  <si>
    <t xml:space="preserve">NAME FILE:  107 RECORD
AFF-107-RELATIONSHIP CODE(1) (col 308) </t>
  </si>
  <si>
    <t>DEMO-CORP-OFFICER
(beg 327)</t>
  </si>
  <si>
    <t>D</t>
  </si>
  <si>
    <t>S</t>
  </si>
  <si>
    <t>M - Married</t>
  </si>
  <si>
    <t>D – director</t>
  </si>
  <si>
    <t>N - Not Asked</t>
  </si>
  <si>
    <t>1 –15% or below</t>
  </si>
  <si>
    <t>P – policy making executive of a publicly traded company</t>
  </si>
  <si>
    <t>S - Single</t>
  </si>
  <si>
    <t>2 – 25% - 27.5%</t>
  </si>
  <si>
    <t>S – 10% shareholder</t>
  </si>
  <si>
    <t>R - Refused</t>
  </si>
  <si>
    <t>3 – greater than 27.5%</t>
  </si>
  <si>
    <t>TABLE FOR DEMO-NOTE2</t>
  </si>
  <si>
    <t>#7</t>
  </si>
  <si>
    <t xml:space="preserve"> NAME file AFF-107-RECORD-SEGMENT (col 14-16) = 107 and AFF-107-OCCUPATION (col 19-50) </t>
  </si>
  <si>
    <t>DEMO-RETIRED
(beg 330)</t>
  </si>
  <si>
    <t xml:space="preserve"> SUIT FILE
NFS-SUTFD-INV-PURP-C (col 208)
</t>
  </si>
  <si>
    <t>DEMO-NOTE2
(beg 445)</t>
  </si>
  <si>
    <t xml:space="preserve">  SUIT file
NFS-SUTFD-RISK-TOL (col 145)  </t>
  </si>
  <si>
    <t>DEMO-RISK-TOLERANCE
(beg 978)</t>
  </si>
  <si>
    <t>A</t>
  </si>
  <si>
    <t>B</t>
  </si>
  <si>
    <t>C</t>
  </si>
  <si>
    <t>E</t>
  </si>
  <si>
    <t>F</t>
  </si>
  <si>
    <t>H</t>
  </si>
  <si>
    <t xml:space="preserve">0 – refused </t>
  </si>
  <si>
    <t xml:space="preserve">A – education </t>
  </si>
  <si>
    <t xml:space="preserve">B – retirement </t>
  </si>
  <si>
    <t>C – short-term goal(s)</t>
  </si>
  <si>
    <t>D – generate income</t>
  </si>
  <si>
    <t>E – accumulate wealth</t>
  </si>
  <si>
    <t>F – preserve wealth</t>
  </si>
  <si>
    <t>G – market speculation</t>
  </si>
  <si>
    <t xml:space="preserve">H – other </t>
  </si>
  <si>
    <t>(Note:  the word Retired is usually part of the search criteria</t>
  </si>
  <si>
    <t>5 SEPARATE INVESTMENT OBJ.  TABLES</t>
  </si>
  <si>
    <t>TABLE FOR
 INVESTMENT EXPERIENCE FOR
STOCKS</t>
  </si>
  <si>
    <t>TABLE FOR
 INVESTMENT EXPERIENCE FOR
OPTION</t>
  </si>
  <si>
    <t>TABLE FOR
 INVESTMENT EXPERIENCE FOR
MMF</t>
  </si>
  <si>
    <t>DEMO-INVEST-EXPERIENCE-STK
(beg 311)</t>
  </si>
  <si>
    <t>DEMO-INVEST-EXPERIENCE-OPT
(beg 312)</t>
  </si>
  <si>
    <t>DEMO-INVEST-EXPERIENCE-MMF
(beg 313)</t>
  </si>
  <si>
    <r>
      <rPr>
        <b/>
        <sz val="9"/>
        <color indexed="8"/>
        <rFont val="Arial"/>
        <family val="2"/>
      </rPr>
      <t xml:space="preserve">E </t>
    </r>
    <r>
      <rPr>
        <sz val="9"/>
        <color indexed="8"/>
        <rFont val="Arial"/>
        <family val="2"/>
      </rPr>
      <t>- (extensive)</t>
    </r>
  </si>
  <si>
    <r>
      <rPr>
        <b/>
        <sz val="9"/>
        <color indexed="8"/>
        <rFont val="Arial"/>
        <family val="2"/>
      </rPr>
      <t>G</t>
    </r>
    <r>
      <rPr>
        <sz val="9"/>
        <color indexed="8"/>
        <rFont val="Arial"/>
        <family val="2"/>
      </rPr>
      <t xml:space="preserve"> - (good)</t>
    </r>
  </si>
  <si>
    <r>
      <rPr>
        <b/>
        <sz val="9"/>
        <color indexed="8"/>
        <rFont val="Arial"/>
        <family val="2"/>
      </rPr>
      <t>L</t>
    </r>
    <r>
      <rPr>
        <sz val="9"/>
        <color indexed="8"/>
        <rFont val="Arial"/>
        <family val="2"/>
      </rPr>
      <t xml:space="preserve"> - (limited)</t>
    </r>
  </si>
  <si>
    <r>
      <rPr>
        <b/>
        <sz val="9"/>
        <color indexed="8"/>
        <rFont val="Arial"/>
        <family val="2"/>
      </rPr>
      <t>N</t>
    </r>
    <r>
      <rPr>
        <sz val="9"/>
        <color indexed="8"/>
        <rFont val="Arial"/>
        <family val="2"/>
      </rPr>
      <t xml:space="preserve"> - (none)</t>
    </r>
  </si>
  <si>
    <r>
      <rPr>
        <b/>
        <sz val="9"/>
        <color indexed="8"/>
        <rFont val="Arial"/>
        <family val="2"/>
      </rPr>
      <t>R</t>
    </r>
    <r>
      <rPr>
        <sz val="9"/>
        <color indexed="8"/>
        <rFont val="Arial"/>
        <family val="2"/>
      </rPr>
      <t xml:space="preserve"> - (refused)</t>
    </r>
  </si>
  <si>
    <t>&lt; 1</t>
  </si>
  <si>
    <t>&gt; or = 1 and &lt; 5</t>
  </si>
  <si>
    <t>&gt; or = 5</t>
  </si>
  <si>
    <t>spaces</t>
  </si>
  <si>
    <t>TABLE FOR
 INVESTMENT EXPERIENCE FOR
ANN</t>
  </si>
  <si>
    <t>TABLE FOR
 INVESTMENT EXPERIENCE FOR
BND</t>
  </si>
  <si>
    <t>DEMO-INVEST-EXPERIENCE-ANN
(beg 314)</t>
  </si>
  <si>
    <t>DEMO-INVEST-EXPERIENCE-BND
(beg 1068)</t>
  </si>
  <si>
    <t>6 SEPARATE TABLES</t>
  </si>
  <si>
    <t xml:space="preserve">DEMO-INV-TIME-HORIZON-1
(beg 1078)
</t>
  </si>
  <si>
    <t>PREVIOUSLY NOT USED:  INITIALIZE TO LOW VALUES</t>
  </si>
  <si>
    <t xml:space="preserve">DEMO-INV-TIME-HORIZON-2
(beg 1079)
</t>
  </si>
  <si>
    <t>NO NFS FIELD IDENTIFIED</t>
  </si>
  <si>
    <t xml:space="preserve">DEMO-LIQ-NEEDS-DOL-PCT-1
(beg 1081)
</t>
  </si>
  <si>
    <t>Y</t>
  </si>
  <si>
    <r>
      <rPr>
        <b/>
        <sz val="9"/>
        <color indexed="8"/>
        <rFont val="Arial"/>
        <family val="2"/>
      </rPr>
      <t xml:space="preserve">L </t>
    </r>
    <r>
      <rPr>
        <sz val="9"/>
        <color indexed="8"/>
        <rFont val="Arial"/>
        <family val="2"/>
      </rPr>
      <t>- (long over 10 years)</t>
    </r>
  </si>
  <si>
    <t>N</t>
  </si>
  <si>
    <r>
      <rPr>
        <b/>
        <sz val="9"/>
        <color indexed="8"/>
        <rFont val="Arial"/>
        <family val="2"/>
      </rPr>
      <t>I</t>
    </r>
    <r>
      <rPr>
        <sz val="9"/>
        <color indexed="8"/>
        <rFont val="Arial"/>
        <family val="2"/>
      </rPr>
      <t xml:space="preserve"> - (intermediate 6-10 yrs)</t>
    </r>
  </si>
  <si>
    <r>
      <rPr>
        <b/>
        <sz val="9"/>
        <color indexed="8"/>
        <rFont val="Arial"/>
        <family val="2"/>
      </rPr>
      <t>S</t>
    </r>
    <r>
      <rPr>
        <sz val="9"/>
        <color indexed="8"/>
        <rFont val="Arial"/>
        <family val="2"/>
      </rPr>
      <t xml:space="preserve"> - (short 0-5 yrs)</t>
    </r>
  </si>
  <si>
    <r>
      <rPr>
        <b/>
        <sz val="9"/>
        <color indexed="8"/>
        <rFont val="Arial"/>
        <family val="2"/>
      </rPr>
      <t>C</t>
    </r>
    <r>
      <rPr>
        <sz val="9"/>
        <color indexed="8"/>
        <rFont val="Arial"/>
        <family val="2"/>
      </rPr>
      <t xml:space="preserve"> - (combo)</t>
    </r>
  </si>
  <si>
    <t>V</t>
  </si>
  <si>
    <r>
      <rPr>
        <b/>
        <sz val="9"/>
        <color indexed="8"/>
        <rFont val="Arial"/>
        <family val="2"/>
      </rPr>
      <t>N</t>
    </r>
    <r>
      <rPr>
        <sz val="9"/>
        <color indexed="8"/>
        <rFont val="Arial"/>
        <family val="2"/>
      </rPr>
      <t xml:space="preserve"> - (not available)</t>
    </r>
  </si>
  <si>
    <t>NSF Values</t>
  </si>
  <si>
    <t>N – not available</t>
  </si>
  <si>
    <t>S – short (0-5 years)</t>
  </si>
  <si>
    <t>I – intermediate (6-10 years)</t>
  </si>
  <si>
    <t>L – long (over 10 years)</t>
  </si>
  <si>
    <t>C – combination (refer to TIME-HORIZON-FFORM free form field)</t>
  </si>
  <si>
    <t>T = Near Term</t>
  </si>
  <si>
    <t>R = Refused</t>
  </si>
  <si>
    <t>V = Very Short</t>
  </si>
  <si>
    <t xml:space="preserve">DEMO-LIQ-NEEDS-TIMEFRM-1
(beg 1092)
</t>
  </si>
  <si>
    <t xml:space="preserve">DEMO-LIQ-NEEDS-TIMEFRM-2
(beg 1104)
</t>
  </si>
  <si>
    <t xml:space="preserve"> PREVIOUSLY NOT USED:  INITIALIZE TO LOW VALUES</t>
  </si>
  <si>
    <t xml:space="preserve">DEMO-LIQ-NEEDS-TIMEFRM-3
(beg 1116)
</t>
  </si>
  <si>
    <t>Issue #</t>
  </si>
  <si>
    <t>Beg</t>
  </si>
  <si>
    <t>BETA Description</t>
  </si>
  <si>
    <t>Pershing Field Name</t>
  </si>
  <si>
    <t>LPL - Commerce Bank (COM)                                    08/19/2023</t>
  </si>
  <si>
    <t>LPL - Peoples United (PEO)                                    08/20/2022</t>
  </si>
  <si>
    <t>LPL - Invest (VST)                                    02/06/2018</t>
  </si>
  <si>
    <t>LPL - FIRST MERIT    
2013</t>
  </si>
  <si>
    <t>2011 Pershing started using the FFRS file for DEMO; also, db mapping previous to 2011
2013 - SUIT file replaced the 106 record.</t>
  </si>
  <si>
    <t>DE-DEMO=KEY-AREA</t>
  </si>
  <si>
    <t xml:space="preserve"> Account number assigned, read ACCT by conversion account key.
(NA file NFS-101-RECORD-SEGMENT (col 14-16) =101 then convert to NFS-101-BRANCH (col 5-7) and NFS-101-ACC-NO-PARTIAL (col 8-12) and NFS-101-ACC-NO-CHKDG (col 13).
</t>
  </si>
  <si>
    <r>
      <t>NEW OPTION
2.</t>
    </r>
    <r>
      <rPr>
        <sz val="9"/>
        <color rgb="FF000000"/>
        <rFont val="Arial"/>
        <family val="2"/>
      </rPr>
      <t xml:space="preserve">  Intiialize to low values.
FFRS file NFS-FFR-BIRTH-DATE-SHADOW1 (col 390-397), if valid and greater than zero and less than current date.</t>
    </r>
  </si>
  <si>
    <t>1.  Intiialize to low values.
FFRS file NFS-FFR-BIRTH-DATE-SHADOW1 (col 390-397), if valid and greater than zero and less than current date.
If blank and INST=A, I, J, O, S, U, or Y, then default to 01/01/1901.</t>
  </si>
  <si>
    <t xml:space="preserve">1.  Intiialize to low values.
FFRS file NFS-FFR-BIRTH-DATE-SHADOW1 (col 390-397), if valid and greater than zero and less than current date.
If blank and INST=A, I, J, O, S, U, or Y, then default to 01/01/1901.
</t>
  </si>
  <si>
    <t xml:space="preserve"> FFRS file NFS-FFR-BIRTH-DATE-SHADOW1 (col 390-397)
If blank and INST=A, I, J, O, S, U, or Y, then default to 01/01/1901.
NOTE:  IRAS has 01/01/1901 as the default DOB.
</t>
  </si>
  <si>
    <t>Ignore</t>
  </si>
  <si>
    <t>BOOKRECS file NFS-BOOK-BRBTCH-AFF-MLG-LBL-1 (col 1073-1122)</t>
  </si>
  <si>
    <t xml:space="preserve"> BOOKRECS file NFS-BOOK-BRBTCH-AFF-ADDR-1 (col 1223-1272)</t>
  </si>
  <si>
    <t xml:space="preserve"> BOOKRECS file NFS-BOOK-BRBTCH-AFF-CITY-NM (col 1333-1362)</t>
  </si>
  <si>
    <t xml:space="preserve"> BOOKRECS file NFS-BOOK-BRBTCH-AFF-ST-C (col 1363-1364)</t>
  </si>
  <si>
    <t xml:space="preserve"> BOOKRECS file NFS-BOOK-BRBTCH-AFF-ZIP-C (col 1365-1369)</t>
  </si>
  <si>
    <t xml:space="preserve"> BOOKRECS file NFS-BOOK-BRBTCH-AFF-ZIP-C-2 (col 1370-1373)</t>
  </si>
  <si>
    <t xml:space="preserve"> SUIT file
NFS-SUTFD-EST-NET-WRTH  (col 92)                 
NFS                      BETA
0-Refused             Blank
1-0-50K                    A
2-50K-100K              C
3-100K-500K            D
4-&gt;500K                    F
9-Not asked           Blank
If blank, default to blank
</t>
  </si>
  <si>
    <t xml:space="preserve"> SUIT file
NFS-SUTFD-MARITAL-STATUS (col 134)     
NFS                               BETA
Blank                             Blank
M                                   M
N                                    Blank
S                                    S          
</t>
  </si>
  <si>
    <t xml:space="preserve"> SUIT file 
NFS-SUTFD-NBR-DEPENDENTS (col 135-136)
</t>
  </si>
  <si>
    <t xml:space="preserve"> SUIT file
NFS-SUTFD-TAX-BRACKET (col 170)      
NFS                               BETA
  0                                      ?  
  1                                      ? 
  2                                      ?
  3                                      ?
  9                                      ? 
</t>
  </si>
  <si>
    <t xml:space="preserve"> SUIT file
NFS-SUTFD-ANN-INC (col 78)          
NFS                               BETA 
0=Refused                    Blank     
1=Less than 25K             A
2=25K to 50K                  B
3=50K to 100K                C
4=Over 100K                   D
5=$---,---,---                     Z
9=Not asked                    Z
</t>
  </si>
  <si>
    <t xml:space="preserve"> SUIT file
NFS-SUTFD-INV-ASSETS (col 106)  
NFS                           BETA
0-Refused                   Z
1-Less than 50K          A
2-50-100K                   C
3-100-500K                 D
4-&gt;500K                      F
5    ____,_____           A
9- NOT ASKED           Z 
 Blank default to          Z
</t>
  </si>
  <si>
    <t xml:space="preserve"> SUIT file
NFS-SUTFD-EST-NET-WRTH  (col 92)                 
NFS                      BETA
0-Refused                Z
1-0-50K                    A
2-50K-100K              C
3-100K-500K            D
4-&gt;500K                    F
9-Not asked              Z
If blank, default to     Z
</t>
  </si>
  <si>
    <t xml:space="preserve"> If NA file AFF-107-RELATIONSHIP-CODE = ‘D’ or ‘S’, populate with “X”, else leave blank.</t>
  </si>
  <si>
    <t xml:space="preserve"> System generated</t>
  </si>
  <si>
    <t xml:space="preserve"> SUIT file
NFS-SUTFD-RISK-TOL (col 145)
NFS                           BETA
Blank                         Blank
A                                   C
B                                   B 
C                                   A
M                                  B
N                               Blank
X                                   B
</t>
  </si>
  <si>
    <r>
      <t>2.  See Table D TIME NEEDS Table.</t>
    </r>
    <r>
      <rPr>
        <strike/>
        <sz val="9"/>
        <rFont val="Arial"/>
        <family val="2"/>
      </rPr>
      <t xml:space="preserve">
1.  Initialize to Low Values</t>
    </r>
    <r>
      <rPr>
        <strike/>
        <sz val="9"/>
        <color rgb="FF000000"/>
        <rFont val="Arial"/>
        <family val="2"/>
      </rPr>
      <t xml:space="preserve">
2.  See Table D TIME NEEDS Table</t>
    </r>
  </si>
  <si>
    <t>DEMO-LIQ-NEEDS-DOL-PCT</t>
  </si>
  <si>
    <t>Indicator to determine what DEMO tables require updating; required only if ADM_EXP record is updated.  BETA field only.
DCM_ADM only – set to space or A      
 ADM_EXP only – set to B                       
  If both tables – set to C
Note: This field must equal C for the DEM3 screen to be updated .</t>
  </si>
  <si>
    <t>2. Move 'C'</t>
  </si>
  <si>
    <t>LPL - Crown Financial NFS (NCR)                                    04/20/2024</t>
  </si>
  <si>
    <t>LPL - Prudential (PRU)                                    11/06/2024</t>
  </si>
  <si>
    <r>
      <t>2. Move</t>
    </r>
    <r>
      <rPr>
        <sz val="9"/>
        <color rgb="FFFF0000"/>
        <rFont val="Arial"/>
        <family val="2"/>
      </rPr>
      <t xml:space="preserve"> 'C'</t>
    </r>
  </si>
  <si>
    <t>LPL First Horizon
DEMO Reverse Mapping</t>
  </si>
  <si>
    <t>023</t>
  </si>
  <si>
    <t>001</t>
  </si>
  <si>
    <t>Chevia Wilkins</t>
  </si>
  <si>
    <t>V3</t>
  </si>
  <si>
    <t>W1</t>
  </si>
  <si>
    <t>CS.CVT2025.LPL.FHR.NAME</t>
  </si>
  <si>
    <t>CS.CVT2025.LPL.FHR.SUIT</t>
  </si>
  <si>
    <t>CS.CVT2025.LPL.FHR.FFRS</t>
  </si>
  <si>
    <t>WIS (copied 4/29/2025)</t>
  </si>
  <si>
    <t>Counts</t>
  </si>
  <si>
    <t>space</t>
  </si>
  <si>
    <t>1-24,999</t>
  </si>
  <si>
    <t>25,000-49,999</t>
  </si>
  <si>
    <t>50,000-99,999</t>
  </si>
  <si>
    <t>100,000-249,999</t>
  </si>
  <si>
    <t>250,000-499,999</t>
  </si>
  <si>
    <t>500,000-749,999</t>
  </si>
  <si>
    <t>750,000-999,999</t>
  </si>
  <si>
    <t xml:space="preserve"> =&gt;1,000,000</t>
  </si>
  <si>
    <t>Total</t>
  </si>
  <si>
    <t>Blank</t>
  </si>
  <si>
    <t>M</t>
  </si>
  <si>
    <t xml:space="preserve">SUIT FILE       
NFS-SUTFD-SPEC-EXP-TM-RNG-C
 (col 207)       
</t>
  </si>
  <si>
    <t xml:space="preserve">spaces
</t>
  </si>
  <si>
    <t>LPL Values</t>
  </si>
  <si>
    <t>Spaces - Default</t>
  </si>
  <si>
    <t>A - 0-3 YEARS</t>
  </si>
  <si>
    <t>B - 3+ YEARS</t>
  </si>
  <si>
    <t>I</t>
  </si>
  <si>
    <t>Valerie Haddad</t>
  </si>
  <si>
    <t>TASK00000118550</t>
  </si>
  <si>
    <t>VH</t>
  </si>
  <si>
    <t>Table A, Values from "DLRS" not moving when value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</si>
</sst>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50">
    <font>
      <sz val="11"/>
      <color theme="1"/>
      <name val="Calibri"/>
      <family val="2"/>
      <scheme val="minor"/>
    </font>
    <font>
      <sz val="9"/>
      <color indexed="8"/>
      <name val="Arial"/>
      <family val="2"/>
    </font>
    <font>
      <b/>
      <sz val="9"/>
      <color indexed="8"/>
      <name val="Arial"/>
      <family val="2"/>
    </font>
    <font>
      <sz val="9"/>
      <name val="Arial"/>
      <family val="2"/>
    </font>
    <font>
      <b/>
      <sz val="9"/>
      <name val="Arial"/>
      <family val="2"/>
    </font>
    <font>
      <sz val="8"/>
      <name val="Arial"/>
      <family val="2"/>
    </font>
    <font>
      <sz val="9"/>
      <color indexed="81"/>
      <name val="Tahoma"/>
      <family val="2"/>
    </font>
    <font>
      <b/>
      <sz val="9"/>
      <color indexed="81"/>
      <name val="Tahoma"/>
      <family val="2"/>
    </font>
    <font>
      <sz val="9"/>
      <color indexed="10"/>
      <name val="Arial"/>
      <family val="2"/>
    </font>
    <font>
      <u/>
      <sz val="8.8000000000000007"/>
      <color theme="10"/>
      <name val="Calibri"/>
      <family val="2"/>
    </font>
    <font>
      <sz val="10"/>
      <color theme="1"/>
      <name val="Calibri"/>
      <family val="2"/>
      <scheme val="minor"/>
    </font>
    <font>
      <b/>
      <sz val="11"/>
      <color theme="1"/>
      <name val="Calibri"/>
      <family val="2"/>
      <scheme val="minor"/>
    </font>
    <font>
      <sz val="9"/>
      <color theme="1"/>
      <name val="Arial"/>
      <family val="2"/>
    </font>
    <font>
      <b/>
      <sz val="9"/>
      <color theme="0"/>
      <name val="Arial"/>
      <family val="2"/>
    </font>
    <font>
      <b/>
      <sz val="9"/>
      <color theme="1"/>
      <name val="Arial"/>
      <family val="2"/>
    </font>
    <font>
      <sz val="9"/>
      <color rgb="FFFF0000"/>
      <name val="Arial"/>
      <family val="2"/>
    </font>
    <font>
      <b/>
      <sz val="9"/>
      <color rgb="FFFF0000"/>
      <name val="Arial"/>
      <family val="2"/>
    </font>
    <font>
      <sz val="9"/>
      <color theme="0"/>
      <name val="Arial"/>
      <family val="2"/>
    </font>
    <font>
      <b/>
      <sz val="14"/>
      <color theme="1"/>
      <name val="Arial"/>
      <family val="2"/>
    </font>
    <font>
      <b/>
      <sz val="9"/>
      <color theme="1"/>
      <name val="Arial (W1)"/>
      <family val="2"/>
    </font>
    <font>
      <sz val="9"/>
      <color theme="1"/>
      <name val="Arial (W1)"/>
      <family val="2"/>
    </font>
    <font>
      <b/>
      <sz val="9"/>
      <color rgb="FFFF0000"/>
      <name val="Arial (W1)"/>
      <family val="2"/>
    </font>
    <font>
      <sz val="9"/>
      <color rgb="FF000000"/>
      <name val="Arial (W1)"/>
      <family val="2"/>
    </font>
    <font>
      <b/>
      <sz val="9"/>
      <color theme="1"/>
      <name val="Arial (W1)"/>
    </font>
    <font>
      <u/>
      <sz val="9"/>
      <color theme="10"/>
      <name val="Arial"/>
      <family val="2"/>
    </font>
    <font>
      <sz val="9"/>
      <color theme="10"/>
      <name val="Arial"/>
      <family val="2"/>
    </font>
    <font>
      <sz val="9"/>
      <color rgb="FF000000"/>
      <name val="Arial"/>
      <family val="2"/>
    </font>
    <font>
      <sz val="8"/>
      <color theme="1"/>
      <name val="Arial"/>
      <family val="2"/>
    </font>
    <font>
      <b/>
      <sz val="8"/>
      <color theme="1"/>
      <name val="Arial"/>
      <family val="2"/>
    </font>
    <font>
      <sz val="8"/>
      <color rgb="FF000000"/>
      <name val="Arial"/>
      <family val="2"/>
    </font>
    <font>
      <i/>
      <sz val="8"/>
      <color rgb="FF000000"/>
      <name val="Arial"/>
      <family val="2"/>
    </font>
    <font>
      <i/>
      <sz val="8"/>
      <color theme="1"/>
      <name val="Arial"/>
      <family val="2"/>
    </font>
    <font>
      <u/>
      <sz val="8.8000000000000007"/>
      <color theme="10"/>
      <name val="Arial"/>
      <family val="2"/>
    </font>
    <font>
      <b/>
      <sz val="11"/>
      <color rgb="FFFF0000"/>
      <name val="Calibri"/>
      <family val="2"/>
      <scheme val="minor"/>
    </font>
    <font>
      <sz val="9"/>
      <color rgb="FF0000FF"/>
      <name val="Arial"/>
      <family val="2"/>
    </font>
    <font>
      <b/>
      <i/>
      <sz val="8"/>
      <color theme="1"/>
      <name val="Arial"/>
      <family val="2"/>
    </font>
    <font>
      <b/>
      <sz val="9"/>
      <color rgb="FFFFFFFF"/>
      <name val="Arial"/>
      <family val="2"/>
    </font>
    <font>
      <strike/>
      <sz val="9"/>
      <name val="Arial"/>
      <family val="2"/>
    </font>
    <font>
      <strike/>
      <sz val="9"/>
      <color rgb="FF000000"/>
      <name val="Arial"/>
      <family val="2"/>
    </font>
    <font>
      <b/>
      <sz val="11"/>
      <color rgb="FFFF0000"/>
      <name val="Calibri"/>
      <family val="2"/>
    </font>
    <font>
      <sz val="11"/>
      <color rgb="FF000000"/>
      <name val="Calibri"/>
      <family val="2"/>
    </font>
    <font>
      <b/>
      <sz val="9"/>
      <color rgb="FF000000"/>
      <name val="Arial"/>
      <family val="2"/>
    </font>
    <font>
      <b/>
      <sz val="11"/>
      <color rgb="FF000000"/>
      <name val="Calibri"/>
      <family val="2"/>
    </font>
    <font>
      <sz val="11"/>
      <color theme="1"/>
      <name val="Calibri"/>
      <family val="2"/>
    </font>
    <font>
      <sz val="11"/>
      <color rgb="FF0070C0"/>
      <name val="Calibri"/>
      <family val="2"/>
      <scheme val="minor"/>
    </font>
    <font>
      <sz val="8"/>
      <color rgb="FFFF0000"/>
      <name val="Arial"/>
      <family val="2"/>
    </font>
    <font>
      <sz val="9"/>
      <color rgb="FF0070C0"/>
      <name val="Arial"/>
      <family val="2"/>
    </font>
    <font>
      <sz val="11"/>
      <color theme="4"/>
      <name val="Calibri"/>
      <family val="2"/>
      <scheme val="minor"/>
    </font>
    <font>
      <sz val="11"/>
      <color rgb="FF0070C0"/>
      <name val="Calibri"/>
      <family val="2"/>
    </font>
    <font>
      <b/>
      <sz val="9"/>
      <color rgb="FFFFFF00"/>
      <name val="Arial"/>
      <family val="2"/>
    </font>
  </fonts>
  <fills count="17">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D9D9D9"/>
        <bgColor indexed="64"/>
      </patternFill>
    </fill>
    <fill>
      <patternFill patternType="solid">
        <fgColor theme="0" tint="-0.24994659260841701"/>
        <bgColor indexed="64"/>
      </patternFill>
    </fill>
    <fill>
      <patternFill patternType="solid">
        <fgColor rgb="FFBFBFBF"/>
        <bgColor indexed="64"/>
      </patternFill>
    </fill>
    <fill>
      <patternFill patternType="solid">
        <fgColor rgb="FFFFFFFF"/>
        <bgColor rgb="FF000000"/>
      </patternFill>
    </fill>
    <fill>
      <patternFill patternType="solid">
        <fgColor rgb="FFD9D9D9"/>
        <bgColor rgb="FF000000"/>
      </patternFill>
    </fill>
    <fill>
      <patternFill patternType="solid">
        <fgColor rgb="FFE4DFEC"/>
        <bgColor rgb="FF000000"/>
      </patternFill>
    </fill>
    <fill>
      <patternFill patternType="solid">
        <fgColor rgb="FFBFBFBF"/>
        <bgColor rgb="FF000000"/>
      </patternFill>
    </fill>
    <fill>
      <patternFill patternType="solid">
        <fgColor rgb="FFA6A6A6"/>
        <bgColor rgb="FF000000"/>
      </patternFill>
    </fill>
    <fill>
      <patternFill patternType="solid">
        <fgColor rgb="FFFFFF00"/>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right style="thin">
        <color theme="0" tint="-0.14999847407452621"/>
      </right>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medium">
        <color rgb="FFFF0000"/>
      </left>
      <right style="thin">
        <color indexed="64"/>
      </right>
      <top style="thin">
        <color indexed="64"/>
      </top>
      <bottom style="thin">
        <color indexed="64"/>
      </bottom>
      <diagonal/>
    </border>
    <border>
      <left style="medium">
        <color rgb="FFFF0000"/>
      </left>
      <right style="thin">
        <color indexed="64"/>
      </right>
      <top/>
      <bottom style="thin">
        <color indexed="64"/>
      </bottom>
      <diagonal/>
    </border>
    <border>
      <left style="medium">
        <color rgb="FFFF0000"/>
      </left>
      <right style="thin">
        <color indexed="64"/>
      </right>
      <top style="thin">
        <color indexed="64"/>
      </top>
      <bottom/>
      <diagonal/>
    </border>
    <border>
      <left style="medium">
        <color rgb="FFFF0000"/>
      </left>
      <right style="thin">
        <color rgb="FF000000"/>
      </right>
      <top style="thin">
        <color rgb="FF000000"/>
      </top>
      <bottom style="thin">
        <color rgb="FF000000"/>
      </bottom>
      <diagonal/>
    </border>
    <border>
      <left style="thin">
        <color indexed="64"/>
      </left>
      <right style="thin">
        <color indexed="64"/>
      </right>
      <top style="medium">
        <color rgb="FF0070C0"/>
      </top>
      <bottom/>
      <diagonal/>
    </border>
    <border>
      <left style="thin">
        <color indexed="64"/>
      </left>
      <right style="medium">
        <color rgb="FFFF0000"/>
      </right>
      <top/>
      <bottom style="thin">
        <color indexed="64"/>
      </bottom>
      <diagonal/>
    </border>
    <border>
      <left style="thin">
        <color indexed="64"/>
      </left>
      <right style="medium">
        <color rgb="FFFF0000"/>
      </right>
      <top style="thin">
        <color indexed="64"/>
      </top>
      <bottom style="thin">
        <color indexed="64"/>
      </bottom>
      <diagonal/>
    </border>
    <border>
      <left/>
      <right style="thin">
        <color indexed="64"/>
      </right>
      <top style="medium">
        <color rgb="FF0070C0"/>
      </top>
      <bottom/>
      <diagonal/>
    </border>
    <border>
      <left style="thin">
        <color indexed="64"/>
      </left>
      <right style="thin">
        <color indexed="64"/>
      </right>
      <top/>
      <bottom/>
      <diagonal/>
    </border>
  </borders>
  <cellStyleXfs count="6">
    <xf numFmtId="0" fontId="0" fillId="0" borderId="0"/>
    <xf numFmtId="0" fontId="9"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cellStyleXfs>
  <cellXfs count="382">
    <xf numFmtId="0" fontId="0" fillId="0" borderId="0" xfId="0"/>
    <xf numFmtId="0" fontId="12" fillId="0" borderId="1" xfId="0" applyFont="1" applyBorder="1" applyAlignment="1">
      <alignment vertical="top" wrapText="1"/>
    </xf>
    <xf numFmtId="0" fontId="12" fillId="2" borderId="1" xfId="0" applyFont="1" applyFill="1" applyBorder="1"/>
    <xf numFmtId="0" fontId="12" fillId="0" borderId="1" xfId="0" applyFont="1" applyBorder="1" applyAlignment="1">
      <alignment horizontal="center"/>
    </xf>
    <xf numFmtId="0" fontId="12" fillId="0" borderId="1" xfId="0" applyFont="1" applyBorder="1"/>
    <xf numFmtId="0" fontId="12" fillId="0" borderId="0" xfId="0" applyFont="1"/>
    <xf numFmtId="0" fontId="12" fillId="0" borderId="0" xfId="0" applyFont="1" applyAlignment="1">
      <alignment horizontal="center"/>
    </xf>
    <xf numFmtId="0" fontId="12" fillId="0" borderId="0" xfId="0" applyFont="1" applyAlignment="1">
      <alignment vertical="top"/>
    </xf>
    <xf numFmtId="0" fontId="13" fillId="2" borderId="1" xfId="0" applyFont="1" applyFill="1" applyBorder="1" applyAlignment="1">
      <alignment horizontal="center" vertical="top" wrapText="1"/>
    </xf>
    <xf numFmtId="0" fontId="13" fillId="2" borderId="1" xfId="0" applyFont="1" applyFill="1" applyBorder="1" applyAlignment="1">
      <alignment horizontal="left" vertical="top" wrapText="1"/>
    </xf>
    <xf numFmtId="0" fontId="12" fillId="0" borderId="0" xfId="0" applyFont="1" applyAlignment="1">
      <alignment horizontal="left" vertical="top"/>
    </xf>
    <xf numFmtId="0" fontId="12" fillId="0" borderId="1" xfId="0" applyFont="1" applyBorder="1" applyAlignment="1">
      <alignment horizontal="left" vertical="top"/>
    </xf>
    <xf numFmtId="0" fontId="12" fillId="0" borderId="0" xfId="0" applyFont="1" applyAlignment="1">
      <alignment vertical="top" wrapText="1"/>
    </xf>
    <xf numFmtId="0" fontId="12" fillId="0" borderId="1" xfId="0" applyFont="1" applyBorder="1" applyAlignment="1">
      <alignment vertical="top"/>
    </xf>
    <xf numFmtId="0" fontId="12" fillId="0" borderId="1" xfId="0" applyFont="1" applyBorder="1" applyAlignment="1">
      <alignment horizontal="left" vertical="top" wrapText="1"/>
    </xf>
    <xf numFmtId="0" fontId="12" fillId="0" borderId="1" xfId="0" applyFont="1" applyBorder="1" applyAlignment="1">
      <alignment horizontal="center" vertical="top"/>
    </xf>
    <xf numFmtId="0" fontId="12" fillId="0" borderId="0" xfId="0" applyFont="1" applyAlignment="1">
      <alignment horizontal="center" vertical="top"/>
    </xf>
    <xf numFmtId="49" fontId="14" fillId="0" borderId="1" xfId="0" applyNumberFormat="1" applyFont="1" applyBorder="1" applyAlignment="1" applyProtection="1">
      <alignment horizontal="left" vertical="top" wrapText="1"/>
      <protection locked="0"/>
    </xf>
    <xf numFmtId="0" fontId="14" fillId="0" borderId="1" xfId="0" applyFont="1" applyBorder="1" applyAlignment="1" applyProtection="1">
      <alignment horizontal="left" vertical="top" wrapText="1"/>
      <protection locked="0"/>
    </xf>
    <xf numFmtId="0" fontId="15" fillId="0" borderId="1" xfId="0" applyFont="1" applyBorder="1" applyAlignment="1" applyProtection="1">
      <alignment horizontal="center" vertical="center"/>
      <protection locked="0"/>
    </xf>
    <xf numFmtId="0" fontId="12" fillId="0" borderId="1" xfId="0" applyFont="1" applyBorder="1" applyAlignment="1" applyProtection="1">
      <alignment horizontal="left" vertical="top" wrapText="1"/>
      <protection locked="0"/>
    </xf>
    <xf numFmtId="0" fontId="3" fillId="0" borderId="1" xfId="0" applyFont="1" applyBorder="1" applyAlignment="1" applyProtection="1">
      <alignment vertical="top" wrapText="1"/>
      <protection locked="0"/>
    </xf>
    <xf numFmtId="0" fontId="16"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top" wrapText="1"/>
      <protection locked="0"/>
    </xf>
    <xf numFmtId="0" fontId="12" fillId="0" borderId="0" xfId="0" applyFont="1" applyProtection="1">
      <protection locked="0"/>
    </xf>
    <xf numFmtId="0" fontId="14" fillId="0" borderId="0" xfId="0" applyFont="1" applyAlignment="1" applyProtection="1">
      <alignment horizontal="left" wrapText="1"/>
      <protection locked="0"/>
    </xf>
    <xf numFmtId="0" fontId="13" fillId="2" borderId="1" xfId="0" applyFont="1" applyFill="1" applyBorder="1" applyAlignment="1">
      <alignment horizontal="center" wrapText="1"/>
    </xf>
    <xf numFmtId="0" fontId="12" fillId="0" borderId="0" xfId="0" applyFont="1" applyAlignment="1">
      <alignment horizontal="left" vertical="top" wrapText="1"/>
    </xf>
    <xf numFmtId="0" fontId="17" fillId="0" borderId="0" xfId="0" applyFont="1" applyAlignment="1">
      <alignment horizontal="left" vertical="top" wrapText="1"/>
    </xf>
    <xf numFmtId="0" fontId="13" fillId="3" borderId="1" xfId="0" applyFont="1" applyFill="1" applyBorder="1" applyAlignment="1">
      <alignment horizontal="left" vertical="top" wrapText="1"/>
    </xf>
    <xf numFmtId="0" fontId="12" fillId="3" borderId="1" xfId="0" applyFont="1" applyFill="1" applyBorder="1"/>
    <xf numFmtId="0" fontId="12" fillId="0" borderId="0" xfId="0" applyFont="1" applyAlignment="1">
      <alignment horizontal="center" wrapText="1"/>
    </xf>
    <xf numFmtId="0" fontId="14" fillId="0" borderId="0" xfId="0" applyFont="1" applyAlignment="1">
      <alignment horizontal="center"/>
    </xf>
    <xf numFmtId="0" fontId="14" fillId="0" borderId="0" xfId="0" applyFont="1" applyAlignment="1">
      <alignment horizontal="left" vertical="top"/>
    </xf>
    <xf numFmtId="0" fontId="18" fillId="2" borderId="0" xfId="0" applyFont="1" applyFill="1" applyAlignment="1">
      <alignment horizontal="left" wrapText="1"/>
    </xf>
    <xf numFmtId="0" fontId="0" fillId="2" borderId="0" xfId="0" applyFill="1" applyAlignment="1">
      <alignment horizontal="left"/>
    </xf>
    <xf numFmtId="0" fontId="0" fillId="0" borderId="0" xfId="0" applyAlignment="1">
      <alignment horizontal="left"/>
    </xf>
    <xf numFmtId="0" fontId="18" fillId="0" borderId="0" xfId="0" applyFont="1" applyAlignment="1">
      <alignment horizontal="left"/>
    </xf>
    <xf numFmtId="0" fontId="19" fillId="0" borderId="0" xfId="0" applyFont="1"/>
    <xf numFmtId="14" fontId="20" fillId="0" borderId="0" xfId="0" applyNumberFormat="1" applyFont="1" applyAlignment="1">
      <alignment horizontal="left"/>
    </xf>
    <xf numFmtId="0" fontId="20" fillId="0" borderId="0" xfId="0" applyFont="1"/>
    <xf numFmtId="0" fontId="21" fillId="0" borderId="0" xfId="0" applyFont="1"/>
    <xf numFmtId="14" fontId="21" fillId="0" borderId="0" xfId="0" applyNumberFormat="1" applyFont="1" applyAlignment="1">
      <alignment horizontal="left"/>
    </xf>
    <xf numFmtId="0" fontId="22" fillId="0" borderId="0" xfId="0" applyFont="1"/>
    <xf numFmtId="0" fontId="0" fillId="0" borderId="8" xfId="0" applyBorder="1" applyAlignment="1">
      <alignment horizontal="left"/>
    </xf>
    <xf numFmtId="0" fontId="23" fillId="0" borderId="0" xfId="0" applyFont="1"/>
    <xf numFmtId="0" fontId="12" fillId="0" borderId="1" xfId="0" applyFont="1" applyBorder="1" applyAlignment="1">
      <alignment horizontal="left"/>
    </xf>
    <xf numFmtId="0" fontId="3"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24" fillId="5" borderId="1" xfId="1" applyFont="1" applyFill="1" applyBorder="1" applyAlignment="1" applyProtection="1">
      <alignment horizontal="center" vertical="center" wrapText="1"/>
    </xf>
    <xf numFmtId="0" fontId="12" fillId="5" borderId="1" xfId="0" applyFont="1" applyFill="1" applyBorder="1" applyAlignment="1">
      <alignment horizontal="center" vertical="center"/>
    </xf>
    <xf numFmtId="0" fontId="25" fillId="5" borderId="1" xfId="1" applyFont="1" applyFill="1" applyBorder="1" applyAlignment="1" applyProtection="1">
      <alignment horizontal="center" vertical="center" wrapText="1"/>
    </xf>
    <xf numFmtId="0" fontId="12" fillId="5" borderId="0" xfId="0" applyFont="1" applyFill="1" applyAlignment="1">
      <alignment horizontal="center" vertical="center"/>
    </xf>
    <xf numFmtId="0" fontId="12" fillId="5" borderId="0" xfId="0" applyFont="1" applyFill="1" applyAlignment="1">
      <alignment horizontal="center" vertical="center" wrapText="1"/>
    </xf>
    <xf numFmtId="0" fontId="0" fillId="0" borderId="0" xfId="0" applyAlignment="1">
      <alignment horizontal="center"/>
    </xf>
    <xf numFmtId="0" fontId="4" fillId="2" borderId="1" xfId="0" applyFont="1" applyFill="1" applyBorder="1" applyAlignment="1">
      <alignment horizontal="center" vertical="top" wrapText="1"/>
    </xf>
    <xf numFmtId="0" fontId="12" fillId="0" borderId="1" xfId="0" applyFont="1" applyBorder="1" applyAlignment="1">
      <alignment horizontal="center" vertical="center"/>
    </xf>
    <xf numFmtId="0" fontId="12" fillId="0" borderId="0" xfId="0" applyFont="1" applyAlignment="1">
      <alignment horizontal="center" vertical="center"/>
    </xf>
    <xf numFmtId="0" fontId="19" fillId="0" borderId="1" xfId="0" applyFont="1" applyBorder="1"/>
    <xf numFmtId="0" fontId="26" fillId="0" borderId="1" xfId="0" applyFont="1" applyBorder="1"/>
    <xf numFmtId="0" fontId="13" fillId="3" borderId="1" xfId="0" applyFont="1" applyFill="1" applyBorder="1" applyAlignment="1" applyProtection="1">
      <alignment horizontal="center" vertical="center" wrapText="1"/>
      <protection locked="0"/>
    </xf>
    <xf numFmtId="0" fontId="4" fillId="3" borderId="1" xfId="0" applyFont="1" applyFill="1" applyBorder="1" applyAlignment="1">
      <alignment horizontal="center" vertical="center" wrapText="1"/>
    </xf>
    <xf numFmtId="0" fontId="12" fillId="0" borderId="1" xfId="0" applyFont="1" applyBorder="1" applyAlignment="1">
      <alignment horizontal="center" vertical="top" wrapText="1"/>
    </xf>
    <xf numFmtId="0" fontId="14" fillId="0" borderId="1" xfId="0" applyFont="1" applyBorder="1" applyAlignment="1">
      <alignment horizontal="center" vertical="top" wrapText="1"/>
    </xf>
    <xf numFmtId="0" fontId="27" fillId="0" borderId="2" xfId="0" applyFont="1" applyBorder="1" applyAlignment="1">
      <alignment vertical="top" wrapText="1"/>
    </xf>
    <xf numFmtId="0" fontId="27" fillId="0" borderId="2" xfId="0" applyFont="1" applyBorder="1" applyAlignment="1">
      <alignment horizontal="left" vertical="top" wrapText="1"/>
    </xf>
    <xf numFmtId="0" fontId="28" fillId="0" borderId="2" xfId="0" applyFont="1" applyBorder="1" applyAlignment="1">
      <alignment horizontal="left" vertical="top" wrapText="1"/>
    </xf>
    <xf numFmtId="0" fontId="29" fillId="0" borderId="2" xfId="0" applyFont="1" applyBorder="1" applyAlignment="1">
      <alignment vertical="top" wrapText="1"/>
    </xf>
    <xf numFmtId="0" fontId="30" fillId="0" borderId="2" xfId="0" applyFont="1" applyBorder="1" applyAlignment="1">
      <alignment horizontal="left" vertical="top" wrapText="1"/>
    </xf>
    <xf numFmtId="0" fontId="31" fillId="0" borderId="2" xfId="0" applyFont="1" applyBorder="1" applyAlignment="1">
      <alignment vertical="top" wrapText="1"/>
    </xf>
    <xf numFmtId="0" fontId="28" fillId="0" borderId="2" xfId="0" applyFont="1" applyBorder="1" applyAlignment="1">
      <alignment vertical="top" wrapText="1"/>
    </xf>
    <xf numFmtId="0" fontId="31" fillId="0" borderId="2" xfId="0" applyFont="1" applyBorder="1" applyAlignment="1">
      <alignment horizontal="left" vertical="top" wrapText="1"/>
    </xf>
    <xf numFmtId="0" fontId="14" fillId="0" borderId="0" xfId="0" applyFont="1" applyAlignment="1">
      <alignment horizontal="center" vertical="top" wrapText="1"/>
    </xf>
    <xf numFmtId="0" fontId="32" fillId="0" borderId="2" xfId="1" applyFont="1" applyFill="1" applyBorder="1" applyAlignment="1" applyProtection="1">
      <alignment horizontal="left" vertical="top" wrapText="1"/>
    </xf>
    <xf numFmtId="0" fontId="27" fillId="0" borderId="3" xfId="0" applyFont="1" applyBorder="1" applyAlignment="1">
      <alignment horizontal="center" vertical="top" wrapText="1"/>
    </xf>
    <xf numFmtId="0" fontId="27" fillId="0" borderId="2" xfId="0" applyFont="1" applyBorder="1" applyAlignment="1">
      <alignment horizontal="center" vertical="top" wrapText="1"/>
    </xf>
    <xf numFmtId="0" fontId="31" fillId="0" borderId="2" xfId="0" applyFont="1" applyBorder="1" applyAlignment="1">
      <alignment horizontal="center" vertical="top" wrapText="1"/>
    </xf>
    <xf numFmtId="0" fontId="11" fillId="0" borderId="1" xfId="0" applyFont="1" applyBorder="1" applyAlignment="1">
      <alignment wrapText="1"/>
    </xf>
    <xf numFmtId="0" fontId="13" fillId="2" borderId="4" xfId="0" applyFont="1" applyFill="1" applyBorder="1" applyAlignment="1">
      <alignment horizontal="left" vertical="top" wrapText="1"/>
    </xf>
    <xf numFmtId="0" fontId="14" fillId="2" borderId="1" xfId="0" applyFont="1" applyFill="1" applyBorder="1" applyAlignment="1">
      <alignment horizontal="center" vertical="top" wrapText="1"/>
    </xf>
    <xf numFmtId="0" fontId="13" fillId="2" borderId="4" xfId="0" applyFont="1" applyFill="1" applyBorder="1" applyAlignment="1">
      <alignment horizontal="center" vertical="top" wrapText="1"/>
    </xf>
    <xf numFmtId="0" fontId="14" fillId="0" borderId="1" xfId="0" applyFont="1" applyBorder="1" applyAlignment="1">
      <alignment horizontal="center" wrapText="1"/>
    </xf>
    <xf numFmtId="0" fontId="33" fillId="0" borderId="1" xfId="0" applyFont="1" applyBorder="1" applyAlignment="1">
      <alignment horizontal="center" wrapText="1"/>
    </xf>
    <xf numFmtId="0" fontId="33" fillId="2" borderId="1" xfId="0" applyFont="1" applyFill="1" applyBorder="1" applyAlignment="1">
      <alignment horizontal="center"/>
    </xf>
    <xf numFmtId="0" fontId="16" fillId="0" borderId="0" xfId="0" applyFont="1" applyAlignment="1">
      <alignment horizontal="center" vertical="top"/>
    </xf>
    <xf numFmtId="0" fontId="33" fillId="0" borderId="0" xfId="0" applyFont="1" applyAlignment="1">
      <alignment horizontal="center" vertical="center"/>
    </xf>
    <xf numFmtId="0" fontId="33" fillId="2" borderId="1" xfId="0" applyFont="1" applyFill="1" applyBorder="1" applyAlignment="1">
      <alignment horizontal="center" wrapText="1"/>
    </xf>
    <xf numFmtId="0" fontId="0" fillId="0" borderId="1" xfId="0" applyBorder="1"/>
    <xf numFmtId="0" fontId="9" fillId="6" borderId="1" xfId="1" applyFill="1" applyBorder="1" applyAlignment="1" applyProtection="1">
      <alignment horizontal="center" vertical="center" wrapText="1"/>
    </xf>
    <xf numFmtId="0" fontId="9" fillId="5" borderId="1" xfId="1" applyFill="1" applyBorder="1" applyAlignment="1" applyProtection="1">
      <alignment horizontal="center" vertical="center"/>
    </xf>
    <xf numFmtId="0" fontId="9" fillId="0" borderId="1" xfId="1" applyBorder="1" applyAlignment="1" applyProtection="1">
      <alignment horizontal="center" vertical="center" wrapText="1"/>
    </xf>
    <xf numFmtId="0" fontId="9" fillId="5" borderId="1" xfId="1" applyFill="1" applyBorder="1" applyAlignment="1" applyProtection="1">
      <alignment horizontal="center" vertical="center" wrapText="1"/>
    </xf>
    <xf numFmtId="0" fontId="11" fillId="0" borderId="0" xfId="0" applyFont="1"/>
    <xf numFmtId="0" fontId="12" fillId="0" borderId="0" xfId="0" applyFont="1" applyAlignment="1">
      <alignment horizontal="center" vertical="top" wrapText="1"/>
    </xf>
    <xf numFmtId="0" fontId="16" fillId="7" borderId="1" xfId="0" applyFont="1" applyFill="1" applyBorder="1" applyAlignment="1">
      <alignment horizontal="center" vertical="top" wrapText="1"/>
    </xf>
    <xf numFmtId="0" fontId="16" fillId="0" borderId="0" xfId="0" applyFont="1" applyAlignment="1">
      <alignment horizontal="center" vertical="top" wrapText="1"/>
    </xf>
    <xf numFmtId="0" fontId="0" fillId="0" borderId="1" xfId="0" applyBorder="1" applyAlignment="1">
      <alignment horizontal="center"/>
    </xf>
    <xf numFmtId="0" fontId="27" fillId="0" borderId="1" xfId="0" applyFont="1" applyBorder="1"/>
    <xf numFmtId="0" fontId="12" fillId="0" borderId="1" xfId="0" applyFont="1" applyBorder="1" applyAlignment="1">
      <alignment wrapText="1"/>
    </xf>
    <xf numFmtId="0" fontId="12" fillId="0" borderId="5" xfId="0" applyFont="1" applyBorder="1" applyAlignment="1">
      <alignment horizontal="center" vertical="top"/>
    </xf>
    <xf numFmtId="0" fontId="14" fillId="6" borderId="6" xfId="0" applyFont="1" applyFill="1" applyBorder="1" applyAlignment="1">
      <alignment horizontal="center" vertical="center" wrapText="1"/>
    </xf>
    <xf numFmtId="0" fontId="27" fillId="0" borderId="1" xfId="0" applyFont="1" applyBorder="1" applyAlignment="1">
      <alignment vertical="top" wrapText="1"/>
    </xf>
    <xf numFmtId="0" fontId="27" fillId="0" borderId="1" xfId="0" applyFont="1" applyBorder="1" applyAlignment="1">
      <alignment wrapText="1"/>
    </xf>
    <xf numFmtId="0" fontId="29" fillId="0" borderId="1" xfId="0" applyFont="1" applyBorder="1" applyAlignment="1">
      <alignment vertical="top" wrapText="1"/>
    </xf>
    <xf numFmtId="0" fontId="12" fillId="3" borderId="6" xfId="0" applyFont="1" applyFill="1" applyBorder="1"/>
    <xf numFmtId="0" fontId="12" fillId="0" borderId="6" xfId="0" applyFont="1" applyBorder="1" applyAlignment="1">
      <alignment horizontal="center"/>
    </xf>
    <xf numFmtId="0" fontId="12" fillId="0" borderId="6" xfId="0" applyFont="1" applyBorder="1" applyAlignment="1">
      <alignment horizontal="center" vertical="top"/>
    </xf>
    <xf numFmtId="0" fontId="14" fillId="0" borderId="6" xfId="0" applyFont="1" applyBorder="1" applyAlignment="1">
      <alignment horizontal="center" vertical="top" wrapText="1"/>
    </xf>
    <xf numFmtId="0" fontId="12" fillId="0" borderId="6" xfId="0" applyFont="1" applyBorder="1" applyAlignment="1">
      <alignment horizontal="left" vertical="top"/>
    </xf>
    <xf numFmtId="0" fontId="31" fillId="0" borderId="7" xfId="0" applyFont="1" applyBorder="1" applyAlignment="1">
      <alignment horizontal="left" vertical="top" wrapText="1"/>
    </xf>
    <xf numFmtId="0" fontId="14" fillId="0" borderId="1" xfId="0" applyFont="1" applyBorder="1" applyAlignment="1">
      <alignment horizontal="center"/>
    </xf>
    <xf numFmtId="0" fontId="34" fillId="0" borderId="1" xfId="0" applyFont="1" applyBorder="1" applyAlignment="1">
      <alignment vertical="top" wrapText="1"/>
    </xf>
    <xf numFmtId="0" fontId="28" fillId="0" borderId="2" xfId="0" applyFont="1" applyBorder="1" applyAlignment="1">
      <alignment horizontal="center" vertical="top" wrapText="1"/>
    </xf>
    <xf numFmtId="0" fontId="28" fillId="0" borderId="1" xfId="0" applyFont="1" applyBorder="1" applyAlignment="1">
      <alignment vertical="top" wrapText="1"/>
    </xf>
    <xf numFmtId="0" fontId="35" fillId="8" borderId="6" xfId="0" applyFont="1" applyFill="1" applyBorder="1" applyAlignment="1">
      <alignment vertical="top" wrapText="1"/>
    </xf>
    <xf numFmtId="0" fontId="4" fillId="0" borderId="1" xfId="0" applyFont="1" applyBorder="1" applyAlignment="1">
      <alignment horizontal="center" vertical="top" wrapText="1"/>
    </xf>
    <xf numFmtId="0" fontId="3" fillId="0" borderId="4" xfId="0" applyFont="1" applyBorder="1" applyAlignment="1">
      <alignment horizontal="left" vertical="top" wrapText="1"/>
    </xf>
    <xf numFmtId="0" fontId="27" fillId="0" borderId="1" xfId="0" applyFont="1" applyBorder="1" applyAlignment="1">
      <alignment horizontal="center" vertical="top" wrapText="1"/>
    </xf>
    <xf numFmtId="0" fontId="31" fillId="0" borderId="1" xfId="0" applyFont="1" applyBorder="1" applyAlignment="1">
      <alignment horizontal="center" vertical="top" wrapText="1"/>
    </xf>
    <xf numFmtId="0" fontId="3" fillId="0" borderId="1" xfId="0" applyFont="1" applyBorder="1" applyAlignment="1">
      <alignment vertical="top" wrapText="1"/>
    </xf>
    <xf numFmtId="0" fontId="27" fillId="0" borderId="1" xfId="0" applyFont="1" applyBorder="1" applyAlignment="1">
      <alignment horizontal="left" vertical="top" wrapText="1"/>
    </xf>
    <xf numFmtId="0" fontId="32" fillId="0" borderId="1" xfId="1" applyFont="1" applyFill="1" applyBorder="1" applyAlignment="1" applyProtection="1">
      <alignment horizontal="left" vertical="top" wrapText="1"/>
    </xf>
    <xf numFmtId="0" fontId="4" fillId="3" borderId="1" xfId="0" applyFont="1" applyFill="1" applyBorder="1" applyAlignment="1" applyProtection="1">
      <alignment horizontal="center" vertical="center" wrapText="1"/>
      <protection locked="0"/>
    </xf>
    <xf numFmtId="0" fontId="14" fillId="3" borderId="1" xfId="0" applyFont="1" applyFill="1" applyBorder="1" applyAlignment="1">
      <alignment vertical="top" wrapText="1"/>
    </xf>
    <xf numFmtId="0" fontId="12" fillId="7" borderId="1" xfId="0" applyFont="1" applyFill="1" applyBorder="1" applyAlignment="1">
      <alignment horizontal="center" vertical="top"/>
    </xf>
    <xf numFmtId="0" fontId="12" fillId="7" borderId="1" xfId="0" applyFont="1" applyFill="1" applyBorder="1"/>
    <xf numFmtId="0" fontId="3" fillId="0" borderId="1" xfId="0" applyFont="1" applyBorder="1" applyAlignment="1">
      <alignment horizontal="center" vertical="top" wrapText="1"/>
    </xf>
    <xf numFmtId="0" fontId="14" fillId="0" borderId="1" xfId="0" applyFont="1" applyBorder="1" applyAlignment="1">
      <alignment horizontal="left" vertical="top"/>
    </xf>
    <xf numFmtId="0" fontId="12" fillId="9" borderId="1" xfId="0" applyFont="1" applyFill="1" applyBorder="1" applyAlignment="1">
      <alignment vertical="top" wrapText="1"/>
    </xf>
    <xf numFmtId="0" fontId="12" fillId="9" borderId="1" xfId="0" applyFont="1" applyFill="1" applyBorder="1" applyAlignment="1">
      <alignment horizontal="center"/>
    </xf>
    <xf numFmtId="0" fontId="12" fillId="9" borderId="1" xfId="0" applyFont="1" applyFill="1" applyBorder="1" applyAlignment="1">
      <alignment horizontal="center" vertical="top"/>
    </xf>
    <xf numFmtId="0" fontId="14" fillId="9" borderId="1" xfId="0" applyFont="1" applyFill="1" applyBorder="1" applyAlignment="1">
      <alignment horizontal="center" vertical="top" wrapText="1"/>
    </xf>
    <xf numFmtId="0" fontId="12" fillId="9" borderId="1" xfId="0" applyFont="1" applyFill="1" applyBorder="1" applyAlignment="1">
      <alignment horizontal="left" vertical="top" wrapText="1"/>
    </xf>
    <xf numFmtId="0" fontId="27" fillId="9" borderId="1" xfId="0" applyFont="1" applyFill="1" applyBorder="1" applyAlignment="1">
      <alignment horizontal="left" vertical="top" wrapText="1"/>
    </xf>
    <xf numFmtId="0" fontId="34" fillId="9" borderId="1" xfId="0" applyFont="1" applyFill="1" applyBorder="1" applyAlignment="1">
      <alignment vertical="top" wrapText="1"/>
    </xf>
    <xf numFmtId="0" fontId="3" fillId="9" borderId="1" xfId="0" applyFont="1" applyFill="1" applyBorder="1" applyAlignment="1">
      <alignment horizontal="center" vertical="center" wrapText="1"/>
    </xf>
    <xf numFmtId="0" fontId="27" fillId="9" borderId="1" xfId="0" applyFont="1" applyFill="1" applyBorder="1" applyAlignment="1">
      <alignment horizontal="center" vertical="top" wrapText="1"/>
    </xf>
    <xf numFmtId="0" fontId="12" fillId="9" borderId="1" xfId="0" applyFont="1" applyFill="1" applyBorder="1" applyAlignment="1">
      <alignment horizontal="center" vertical="center"/>
    </xf>
    <xf numFmtId="0" fontId="14" fillId="9" borderId="1" xfId="0" applyFont="1" applyFill="1" applyBorder="1" applyAlignment="1" applyProtection="1">
      <alignment horizontal="left" vertical="top" wrapText="1"/>
      <protection locked="0"/>
    </xf>
    <xf numFmtId="0" fontId="12" fillId="9" borderId="1" xfId="0" applyFont="1" applyFill="1" applyBorder="1" applyAlignment="1">
      <alignment vertical="top"/>
    </xf>
    <xf numFmtId="0" fontId="12" fillId="9" borderId="1" xfId="0" applyFont="1" applyFill="1" applyBorder="1"/>
    <xf numFmtId="0" fontId="12" fillId="9" borderId="1" xfId="0" applyFont="1" applyFill="1" applyBorder="1" applyAlignment="1">
      <alignment horizontal="center" vertical="top" wrapText="1"/>
    </xf>
    <xf numFmtId="0" fontId="31" fillId="9" borderId="1" xfId="0" applyFont="1" applyFill="1" applyBorder="1" applyAlignment="1">
      <alignment horizontal="left" vertical="top" wrapText="1"/>
    </xf>
    <xf numFmtId="0" fontId="24" fillId="9" borderId="1" xfId="1" applyFont="1" applyFill="1" applyBorder="1" applyAlignment="1" applyProtection="1">
      <alignment horizontal="center" vertical="center" wrapText="1"/>
    </xf>
    <xf numFmtId="0" fontId="12" fillId="9" borderId="1" xfId="0" applyFont="1" applyFill="1" applyBorder="1" applyAlignment="1">
      <alignment horizontal="left" vertical="top"/>
    </xf>
    <xf numFmtId="0" fontId="12" fillId="9" borderId="1" xfId="0" applyFont="1" applyFill="1" applyBorder="1" applyProtection="1">
      <protection locked="0"/>
    </xf>
    <xf numFmtId="0" fontId="12" fillId="7" borderId="1" xfId="0" applyFont="1" applyFill="1" applyBorder="1" applyAlignment="1">
      <alignment horizontal="center"/>
    </xf>
    <xf numFmtId="0" fontId="14" fillId="7" borderId="1" xfId="0" applyFont="1" applyFill="1" applyBorder="1" applyAlignment="1">
      <alignment horizontal="center" vertical="top" wrapText="1"/>
    </xf>
    <xf numFmtId="0" fontId="12" fillId="7" borderId="1" xfId="0" applyFont="1" applyFill="1" applyBorder="1" applyAlignment="1">
      <alignment horizontal="left" vertical="top" wrapText="1"/>
    </xf>
    <xf numFmtId="0" fontId="31" fillId="7" borderId="1" xfId="0" applyFont="1" applyFill="1" applyBorder="1" applyAlignment="1">
      <alignment vertical="top" wrapText="1"/>
    </xf>
    <xf numFmtId="0" fontId="12" fillId="7" borderId="1" xfId="0" applyFont="1" applyFill="1" applyBorder="1" applyAlignment="1">
      <alignment vertical="top" wrapText="1"/>
    </xf>
    <xf numFmtId="0" fontId="34" fillId="7" borderId="1" xfId="0" applyFont="1" applyFill="1" applyBorder="1" applyAlignment="1">
      <alignment vertical="top" wrapText="1"/>
    </xf>
    <xf numFmtId="0" fontId="3" fillId="7" borderId="1" xfId="0" applyFont="1" applyFill="1" applyBorder="1" applyAlignment="1">
      <alignment horizontal="center" vertical="center" wrapText="1"/>
    </xf>
    <xf numFmtId="0" fontId="27" fillId="7" borderId="1" xfId="0" applyFont="1" applyFill="1" applyBorder="1" applyAlignment="1">
      <alignment horizontal="center" vertical="top" wrapText="1"/>
    </xf>
    <xf numFmtId="0" fontId="14" fillId="7" borderId="1" xfId="0" applyFont="1" applyFill="1" applyBorder="1" applyAlignment="1" applyProtection="1">
      <alignment horizontal="left" vertical="top" wrapText="1"/>
      <protection locked="0"/>
    </xf>
    <xf numFmtId="0" fontId="27" fillId="7" borderId="1" xfId="0" applyFont="1" applyFill="1" applyBorder="1" applyAlignment="1">
      <alignment vertical="top" wrapText="1"/>
    </xf>
    <xf numFmtId="0" fontId="12" fillId="7" borderId="1" xfId="0" applyFont="1" applyFill="1" applyBorder="1" applyAlignment="1">
      <alignment vertical="top"/>
    </xf>
    <xf numFmtId="0" fontId="30" fillId="7" borderId="1" xfId="0" applyFont="1" applyFill="1" applyBorder="1" applyAlignment="1">
      <alignment horizontal="left" vertical="top" wrapText="1"/>
    </xf>
    <xf numFmtId="0" fontId="12" fillId="7" borderId="1" xfId="0" applyFont="1" applyFill="1" applyBorder="1" applyAlignment="1">
      <alignment horizontal="center" vertical="center" wrapText="1"/>
    </xf>
    <xf numFmtId="0" fontId="12" fillId="7" borderId="1" xfId="0" applyFont="1" applyFill="1" applyBorder="1" applyAlignment="1">
      <alignment horizontal="center" vertical="top" wrapText="1"/>
    </xf>
    <xf numFmtId="49" fontId="12" fillId="7" borderId="1" xfId="0" applyNumberFormat="1" applyFont="1" applyFill="1" applyBorder="1" applyAlignment="1">
      <alignment horizontal="center" vertical="center" wrapText="1"/>
    </xf>
    <xf numFmtId="49" fontId="14" fillId="7" borderId="1" xfId="0" applyNumberFormat="1" applyFont="1" applyFill="1" applyBorder="1" applyAlignment="1" applyProtection="1">
      <alignment horizontal="left" vertical="top" wrapText="1"/>
      <protection locked="0"/>
    </xf>
    <xf numFmtId="0" fontId="5" fillId="0" borderId="4" xfId="0" applyFont="1" applyBorder="1" applyAlignment="1">
      <alignment horizontal="left" vertical="top" wrapText="1"/>
    </xf>
    <xf numFmtId="49" fontId="3" fillId="5" borderId="1" xfId="0" applyNumberFormat="1" applyFont="1" applyFill="1" applyBorder="1" applyAlignment="1" applyProtection="1">
      <alignment vertical="top" wrapText="1"/>
      <protection locked="0"/>
    </xf>
    <xf numFmtId="0" fontId="12" fillId="5" borderId="1" xfId="0" applyFont="1" applyFill="1" applyBorder="1" applyAlignment="1">
      <alignment vertical="top" wrapText="1"/>
    </xf>
    <xf numFmtId="0" fontId="12" fillId="5" borderId="1" xfId="0" applyFont="1" applyFill="1" applyBorder="1" applyAlignment="1">
      <alignment horizontal="center" vertical="top"/>
    </xf>
    <xf numFmtId="0" fontId="4" fillId="5" borderId="1" xfId="0" applyFont="1" applyFill="1" applyBorder="1" applyAlignment="1">
      <alignment horizontal="center" vertical="top" wrapText="1"/>
    </xf>
    <xf numFmtId="0" fontId="12" fillId="5" borderId="1" xfId="0" applyFont="1" applyFill="1" applyBorder="1"/>
    <xf numFmtId="0" fontId="27" fillId="5" borderId="1" xfId="0" applyFont="1" applyFill="1" applyBorder="1" applyAlignment="1">
      <alignment horizontal="center" vertical="top" wrapText="1"/>
    </xf>
    <xf numFmtId="0" fontId="14" fillId="5" borderId="1" xfId="0" applyFont="1" applyFill="1" applyBorder="1" applyAlignment="1" applyProtection="1">
      <alignment horizontal="left" vertical="top" wrapText="1"/>
      <protection locked="0"/>
    </xf>
    <xf numFmtId="0" fontId="27" fillId="5" borderId="1" xfId="0" applyFont="1" applyFill="1" applyBorder="1" applyAlignment="1">
      <alignment vertical="top" wrapText="1"/>
    </xf>
    <xf numFmtId="0" fontId="12" fillId="5" borderId="1" xfId="0" applyFont="1" applyFill="1" applyBorder="1" applyAlignment="1">
      <alignment horizontal="left" vertical="top" wrapText="1"/>
    </xf>
    <xf numFmtId="0" fontId="12" fillId="5" borderId="1" xfId="0" applyFont="1" applyFill="1" applyBorder="1" applyAlignment="1">
      <alignment vertical="top"/>
    </xf>
    <xf numFmtId="0" fontId="0" fillId="0" borderId="0" xfId="0" applyAlignment="1">
      <alignment wrapText="1"/>
    </xf>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0" fontId="0" fillId="0" borderId="0" xfId="0" applyAlignment="1">
      <alignment horizontal="center" vertical="top"/>
    </xf>
    <xf numFmtId="0" fontId="16" fillId="7" borderId="0" xfId="0" applyFont="1" applyFill="1" applyAlignment="1">
      <alignment horizontal="center" vertical="top" wrapText="1"/>
    </xf>
    <xf numFmtId="0" fontId="15" fillId="5" borderId="1" xfId="0" applyFont="1" applyFill="1" applyBorder="1" applyAlignment="1">
      <alignment vertical="top" wrapText="1"/>
    </xf>
    <xf numFmtId="0" fontId="3" fillId="5" borderId="1" xfId="0" applyFont="1" applyFill="1" applyBorder="1" applyAlignment="1">
      <alignment vertical="top" wrapText="1"/>
    </xf>
    <xf numFmtId="0" fontId="12" fillId="5" borderId="0" xfId="0" applyFont="1" applyFill="1" applyAlignment="1">
      <alignment vertical="top" wrapText="1"/>
    </xf>
    <xf numFmtId="0" fontId="0" fillId="5" borderId="0" xfId="0" applyFill="1"/>
    <xf numFmtId="0" fontId="33" fillId="5" borderId="0" xfId="0" applyFont="1" applyFill="1" applyAlignment="1">
      <alignment horizontal="center" vertical="center"/>
    </xf>
    <xf numFmtId="0" fontId="15" fillId="0" borderId="1" xfId="0" applyFont="1" applyBorder="1" applyAlignment="1">
      <alignment vertical="top" wrapText="1"/>
    </xf>
    <xf numFmtId="0" fontId="0" fillId="0" borderId="9" xfId="0" applyBorder="1"/>
    <xf numFmtId="0" fontId="12" fillId="0" borderId="9" xfId="0" applyFont="1" applyBorder="1"/>
    <xf numFmtId="164" fontId="12" fillId="0" borderId="9" xfId="0" applyNumberFormat="1" applyFont="1" applyBorder="1" applyAlignment="1">
      <alignment horizontal="left"/>
    </xf>
    <xf numFmtId="0" fontId="12" fillId="0" borderId="9" xfId="0" applyFont="1" applyBorder="1" applyAlignment="1">
      <alignment wrapText="1"/>
    </xf>
    <xf numFmtId="164" fontId="0" fillId="0" borderId="9" xfId="0" applyNumberFormat="1" applyBorder="1" applyAlignment="1">
      <alignment horizontal="left"/>
    </xf>
    <xf numFmtId="14" fontId="0" fillId="0" borderId="9" xfId="0" applyNumberFormat="1" applyBorder="1"/>
    <xf numFmtId="0" fontId="11" fillId="4" borderId="6" xfId="0" applyFont="1" applyFill="1" applyBorder="1" applyAlignment="1">
      <alignment horizontal="center"/>
    </xf>
    <xf numFmtId="0" fontId="11" fillId="4" borderId="6" xfId="0" applyFont="1" applyFill="1" applyBorder="1" applyAlignment="1">
      <alignment horizontal="center" wrapText="1"/>
    </xf>
    <xf numFmtId="0" fontId="3" fillId="11" borderId="1" xfId="0" applyFont="1" applyFill="1" applyBorder="1" applyAlignment="1">
      <alignment horizontal="left" vertical="top" wrapText="1"/>
    </xf>
    <xf numFmtId="0" fontId="3" fillId="11" borderId="4" xfId="0" applyFont="1" applyFill="1" applyBorder="1" applyAlignment="1">
      <alignment horizontal="left" vertical="top" wrapText="1"/>
    </xf>
    <xf numFmtId="0" fontId="26" fillId="0" borderId="4" xfId="0" applyFont="1" applyBorder="1" applyAlignment="1">
      <alignment horizontal="left" vertical="top" wrapText="1"/>
    </xf>
    <xf numFmtId="0" fontId="26" fillId="12" borderId="4" xfId="0" applyFont="1" applyFill="1" applyBorder="1" applyAlignment="1">
      <alignment horizontal="left" vertical="top" wrapText="1"/>
    </xf>
    <xf numFmtId="0" fontId="26" fillId="11" borderId="4" xfId="0" applyFont="1" applyFill="1" applyBorder="1" applyAlignment="1">
      <alignment horizontal="left" vertical="top" wrapText="1"/>
    </xf>
    <xf numFmtId="0" fontId="15" fillId="13" borderId="4" xfId="0" applyFont="1" applyFill="1" applyBorder="1" applyAlignment="1">
      <alignment horizontal="left" vertical="top" wrapText="1"/>
    </xf>
    <xf numFmtId="0" fontId="26" fillId="14" borderId="4" xfId="0" applyFont="1" applyFill="1" applyBorder="1" applyAlignment="1">
      <alignment horizontal="left" vertical="top" wrapText="1"/>
    </xf>
    <xf numFmtId="0" fontId="26" fillId="14" borderId="4" xfId="0" applyFont="1" applyFill="1" applyBorder="1" applyAlignment="1">
      <alignment horizontal="left" vertical="top"/>
    </xf>
    <xf numFmtId="0" fontId="12" fillId="8" borderId="1" xfId="0" applyFont="1" applyFill="1" applyBorder="1" applyAlignment="1">
      <alignment horizontal="center" vertical="top"/>
    </xf>
    <xf numFmtId="0" fontId="0" fillId="8" borderId="0" xfId="0" applyFill="1"/>
    <xf numFmtId="0" fontId="12" fillId="8" borderId="1" xfId="0" applyFont="1" applyFill="1" applyBorder="1" applyAlignment="1">
      <alignment horizontal="center" vertical="center"/>
    </xf>
    <xf numFmtId="0" fontId="12" fillId="8" borderId="1" xfId="0" applyFont="1" applyFill="1" applyBorder="1"/>
    <xf numFmtId="0" fontId="39" fillId="0" borderId="0" xfId="0" applyFont="1" applyAlignment="1">
      <alignment horizontal="center" vertical="center"/>
    </xf>
    <xf numFmtId="0" fontId="40" fillId="0" borderId="0" xfId="0" applyFont="1" applyAlignment="1">
      <alignment horizontal="center" vertical="center"/>
    </xf>
    <xf numFmtId="0" fontId="41" fillId="14" borderId="1" xfId="0" applyFont="1" applyFill="1" applyBorder="1" applyAlignment="1">
      <alignment wrapText="1"/>
    </xf>
    <xf numFmtId="0" fontId="41" fillId="14" borderId="5" xfId="0" applyFont="1" applyFill="1" applyBorder="1"/>
    <xf numFmtId="0" fontId="26" fillId="12" borderId="4" xfId="0" applyFont="1" applyFill="1" applyBorder="1" applyAlignment="1">
      <alignment wrapText="1"/>
    </xf>
    <xf numFmtId="0" fontId="26" fillId="12" borderId="10" xfId="0" applyFont="1" applyFill="1" applyBorder="1"/>
    <xf numFmtId="0" fontId="26" fillId="12" borderId="4" xfId="0" applyFont="1" applyFill="1" applyBorder="1"/>
    <xf numFmtId="0" fontId="26" fillId="14" borderId="5" xfId="0" applyFont="1" applyFill="1" applyBorder="1"/>
    <xf numFmtId="0" fontId="40" fillId="0" borderId="0" xfId="0" applyFont="1"/>
    <xf numFmtId="0" fontId="42" fillId="14" borderId="1" xfId="0" applyFont="1" applyFill="1" applyBorder="1"/>
    <xf numFmtId="0" fontId="42" fillId="14" borderId="5" xfId="0" applyFont="1" applyFill="1" applyBorder="1"/>
    <xf numFmtId="0" fontId="40" fillId="12" borderId="4" xfId="0" applyFont="1" applyFill="1" applyBorder="1"/>
    <xf numFmtId="0" fontId="40" fillId="12" borderId="10" xfId="0" applyFont="1" applyFill="1" applyBorder="1"/>
    <xf numFmtId="0" fontId="12" fillId="0" borderId="5" xfId="0" applyFont="1" applyBorder="1"/>
    <xf numFmtId="0" fontId="41" fillId="14" borderId="1" xfId="0" applyFont="1" applyFill="1" applyBorder="1"/>
    <xf numFmtId="0" fontId="41" fillId="15" borderId="1" xfId="0" applyFont="1" applyFill="1" applyBorder="1"/>
    <xf numFmtId="0" fontId="41" fillId="15" borderId="5" xfId="0" applyFont="1" applyFill="1" applyBorder="1"/>
    <xf numFmtId="0" fontId="4" fillId="14" borderId="1" xfId="0" applyFont="1" applyFill="1" applyBorder="1"/>
    <xf numFmtId="0" fontId="3" fillId="12" borderId="4" xfId="0" applyFont="1" applyFill="1" applyBorder="1"/>
    <xf numFmtId="0" fontId="3" fillId="12" borderId="4" xfId="0" applyFont="1" applyFill="1" applyBorder="1" applyAlignment="1">
      <alignment wrapText="1"/>
    </xf>
    <xf numFmtId="0" fontId="36" fillId="14" borderId="12" xfId="0" applyFont="1" applyFill="1" applyBorder="1" applyAlignment="1">
      <alignment wrapText="1"/>
    </xf>
    <xf numFmtId="0" fontId="29" fillId="12" borderId="13" xfId="0" applyFont="1" applyFill="1" applyBorder="1"/>
    <xf numFmtId="0" fontId="29" fillId="0" borderId="4" xfId="0" applyFont="1" applyBorder="1"/>
    <xf numFmtId="0" fontId="26" fillId="12" borderId="13" xfId="0" applyFont="1" applyFill="1" applyBorder="1" applyAlignment="1">
      <alignment wrapText="1"/>
    </xf>
    <xf numFmtId="0" fontId="42" fillId="14" borderId="9" xfId="0" applyFont="1" applyFill="1" applyBorder="1"/>
    <xf numFmtId="0" fontId="40" fillId="12" borderId="9" xfId="0" applyFont="1" applyFill="1" applyBorder="1"/>
    <xf numFmtId="0" fontId="27" fillId="0" borderId="12" xfId="0" applyFont="1" applyBorder="1"/>
    <xf numFmtId="0" fontId="41" fillId="14" borderId="12" xfId="0" applyFont="1" applyFill="1" applyBorder="1" applyAlignment="1">
      <alignment wrapText="1"/>
    </xf>
    <xf numFmtId="0" fontId="13" fillId="2" borderId="11" xfId="0" applyFont="1" applyFill="1" applyBorder="1" applyAlignment="1">
      <alignment horizontal="center" vertical="top" wrapText="1"/>
    </xf>
    <xf numFmtId="0" fontId="5" fillId="0" borderId="14" xfId="0" applyFont="1" applyBorder="1" applyAlignment="1">
      <alignment horizontal="left" vertical="top" wrapText="1"/>
    </xf>
    <xf numFmtId="0" fontId="12" fillId="0" borderId="11" xfId="0" applyFont="1" applyBorder="1" applyAlignment="1">
      <alignment horizontal="center" vertical="top"/>
    </xf>
    <xf numFmtId="0" fontId="12" fillId="0" borderId="12" xfId="0" applyFont="1" applyBorder="1" applyAlignment="1">
      <alignment horizontal="center" vertical="top"/>
    </xf>
    <xf numFmtId="0" fontId="13" fillId="10" borderId="11" xfId="0" applyFont="1" applyFill="1" applyBorder="1" applyAlignment="1">
      <alignment horizontal="center" vertical="top" wrapText="1"/>
    </xf>
    <xf numFmtId="0" fontId="27" fillId="0" borderId="11" xfId="0" applyFont="1" applyBorder="1" applyAlignment="1">
      <alignment vertical="top"/>
    </xf>
    <xf numFmtId="0" fontId="27" fillId="0" borderId="12" xfId="0" applyFont="1" applyBorder="1" applyAlignment="1">
      <alignment vertical="top"/>
    </xf>
    <xf numFmtId="0" fontId="13" fillId="2" borderId="14" xfId="0" applyFont="1" applyFill="1" applyBorder="1" applyAlignment="1">
      <alignment horizontal="center" vertical="top" wrapText="1"/>
    </xf>
    <xf numFmtId="0" fontId="0" fillId="0" borderId="11" xfId="0" applyBorder="1" applyAlignment="1">
      <alignment horizontal="center"/>
    </xf>
    <xf numFmtId="0" fontId="4" fillId="0" borderId="11" xfId="0" applyFont="1" applyBorder="1" applyAlignment="1">
      <alignment horizontal="center" vertical="top" wrapText="1"/>
    </xf>
    <xf numFmtId="0" fontId="12" fillId="0" borderId="11" xfId="0" applyFont="1" applyBorder="1" applyAlignment="1">
      <alignment horizontal="center" vertical="center"/>
    </xf>
    <xf numFmtId="0" fontId="42" fillId="14" borderId="12" xfId="0" applyFont="1" applyFill="1" applyBorder="1"/>
    <xf numFmtId="0" fontId="40" fillId="12" borderId="13" xfId="0" applyFont="1" applyFill="1" applyBorder="1"/>
    <xf numFmtId="0" fontId="42" fillId="14" borderId="17" xfId="0" applyFont="1" applyFill="1" applyBorder="1"/>
    <xf numFmtId="0" fontId="40" fillId="12" borderId="17" xfId="0" applyFont="1" applyFill="1" applyBorder="1"/>
    <xf numFmtId="0" fontId="4" fillId="2" borderId="18" xfId="0" applyFont="1" applyFill="1" applyBorder="1" applyAlignment="1">
      <alignment horizontal="center" vertical="top" wrapText="1"/>
    </xf>
    <xf numFmtId="0" fontId="12" fillId="0" borderId="18" xfId="0" applyFont="1" applyBorder="1" applyAlignment="1">
      <alignment horizontal="center" vertical="top"/>
    </xf>
    <xf numFmtId="0" fontId="41" fillId="14" borderId="18" xfId="0" applyFont="1" applyFill="1" applyBorder="1" applyAlignment="1">
      <alignment wrapText="1"/>
    </xf>
    <xf numFmtId="0" fontId="26" fillId="12" borderId="19" xfId="0" applyFont="1" applyFill="1" applyBorder="1" applyAlignment="1">
      <alignment wrapText="1"/>
    </xf>
    <xf numFmtId="0" fontId="26" fillId="12" borderId="19" xfId="0" applyFont="1" applyFill="1" applyBorder="1"/>
    <xf numFmtId="0" fontId="4" fillId="14" borderId="18" xfId="0" applyFont="1" applyFill="1" applyBorder="1" applyAlignment="1">
      <alignment wrapText="1"/>
    </xf>
    <xf numFmtId="0" fontId="26" fillId="0" borderId="19" xfId="0" applyFont="1" applyBorder="1"/>
    <xf numFmtId="0" fontId="41" fillId="14" borderId="19" xfId="0" applyFont="1" applyFill="1" applyBorder="1" applyAlignment="1">
      <alignment wrapText="1"/>
    </xf>
    <xf numFmtId="0" fontId="13" fillId="2" borderId="19" xfId="0" applyFont="1" applyFill="1" applyBorder="1" applyAlignment="1">
      <alignment horizontal="center" vertical="top" wrapText="1"/>
    </xf>
    <xf numFmtId="0" fontId="0" fillId="0" borderId="18" xfId="0" applyBorder="1" applyAlignment="1">
      <alignment horizontal="center"/>
    </xf>
    <xf numFmtId="0" fontId="42" fillId="14" borderId="18" xfId="0" applyFont="1" applyFill="1" applyBorder="1"/>
    <xf numFmtId="0" fontId="40" fillId="12" borderId="19" xfId="0" applyFont="1" applyFill="1" applyBorder="1"/>
    <xf numFmtId="0" fontId="42" fillId="14" borderId="21" xfId="0" applyFont="1" applyFill="1" applyBorder="1"/>
    <xf numFmtId="0" fontId="40" fillId="12" borderId="21" xfId="0" applyFont="1" applyFill="1" applyBorder="1"/>
    <xf numFmtId="0" fontId="4" fillId="16" borderId="4" xfId="0" applyFont="1" applyFill="1" applyBorder="1" applyAlignment="1">
      <alignment horizontal="left" vertical="top" wrapText="1"/>
    </xf>
    <xf numFmtId="0" fontId="26" fillId="0" borderId="1" xfId="0" applyFont="1" applyBorder="1" applyAlignment="1">
      <alignment horizontal="left" vertical="top" wrapText="1"/>
    </xf>
    <xf numFmtId="49" fontId="12" fillId="0" borderId="0" xfId="0" applyNumberFormat="1" applyFont="1" applyAlignment="1">
      <alignment horizontal="left"/>
    </xf>
    <xf numFmtId="49" fontId="12" fillId="0" borderId="0" xfId="0" quotePrefix="1" applyNumberFormat="1" applyFont="1" applyAlignment="1">
      <alignment horizontal="left"/>
    </xf>
    <xf numFmtId="3" fontId="44" fillId="0" borderId="0" xfId="0" applyNumberFormat="1" applyFont="1" applyAlignment="1">
      <alignment horizontal="center" vertical="center"/>
    </xf>
    <xf numFmtId="0" fontId="36" fillId="14" borderId="1" xfId="0" applyFont="1" applyFill="1" applyBorder="1" applyAlignment="1">
      <alignment vertical="top" wrapText="1"/>
    </xf>
    <xf numFmtId="3" fontId="44" fillId="0" borderId="0" xfId="0" applyNumberFormat="1" applyFont="1" applyAlignment="1">
      <alignment horizontal="center"/>
    </xf>
    <xf numFmtId="0" fontId="3" fillId="0" borderId="4" xfId="0" applyFont="1" applyBorder="1" applyAlignment="1">
      <alignment vertical="top" wrapText="1"/>
    </xf>
    <xf numFmtId="0" fontId="27" fillId="0" borderId="18" xfId="0" applyFont="1" applyBorder="1" applyAlignment="1">
      <alignment horizontal="center" vertical="top"/>
    </xf>
    <xf numFmtId="0" fontId="3" fillId="0" borderId="18" xfId="0" applyFont="1" applyBorder="1" applyAlignment="1">
      <alignment horizontal="center" vertical="top" wrapText="1"/>
    </xf>
    <xf numFmtId="0" fontId="3" fillId="7" borderId="4" xfId="0" applyFont="1" applyFill="1" applyBorder="1" applyAlignment="1">
      <alignment horizontal="left" vertical="top" wrapText="1"/>
    </xf>
    <xf numFmtId="0" fontId="27" fillId="7" borderId="11" xfId="0" applyFont="1" applyFill="1" applyBorder="1" applyAlignment="1">
      <alignment vertical="top"/>
    </xf>
    <xf numFmtId="0" fontId="3" fillId="7" borderId="19" xfId="0" applyFont="1" applyFill="1" applyBorder="1" applyAlignment="1">
      <alignment wrapText="1"/>
    </xf>
    <xf numFmtId="0" fontId="4" fillId="7" borderId="1" xfId="0" applyFont="1" applyFill="1" applyBorder="1" applyAlignment="1">
      <alignment horizontal="center" vertical="top" wrapText="1"/>
    </xf>
    <xf numFmtId="0" fontId="29" fillId="0" borderId="4" xfId="0" applyFont="1" applyBorder="1" applyAlignment="1">
      <alignment vertical="top"/>
    </xf>
    <xf numFmtId="0" fontId="12" fillId="0" borderId="18" xfId="0" applyFont="1" applyBorder="1" applyAlignment="1">
      <alignment horizontal="center" vertical="top" wrapText="1"/>
    </xf>
    <xf numFmtId="0" fontId="27" fillId="0" borderId="1" xfId="0" applyFont="1" applyBorder="1" applyAlignment="1">
      <alignment vertical="top"/>
    </xf>
    <xf numFmtId="0" fontId="27" fillId="7" borderId="1" xfId="0" applyFont="1" applyFill="1" applyBorder="1"/>
    <xf numFmtId="0" fontId="12" fillId="7" borderId="15" xfId="0" applyFont="1" applyFill="1" applyBorder="1" applyAlignment="1">
      <alignment vertical="top" wrapText="1"/>
    </xf>
    <xf numFmtId="0" fontId="26" fillId="7" borderId="19" xfId="0" applyFont="1" applyFill="1" applyBorder="1"/>
    <xf numFmtId="0" fontId="12" fillId="7" borderId="1" xfId="0" applyFont="1" applyFill="1" applyBorder="1" applyAlignment="1">
      <alignment horizontal="center" vertical="center"/>
    </xf>
    <xf numFmtId="0" fontId="29" fillId="0" borderId="18" xfId="0" applyFont="1" applyBorder="1" applyAlignment="1">
      <alignment horizontal="center" vertical="top"/>
    </xf>
    <xf numFmtId="0" fontId="29" fillId="7" borderId="15" xfId="0" applyFont="1" applyFill="1" applyBorder="1" applyAlignment="1">
      <alignment vertical="top"/>
    </xf>
    <xf numFmtId="0" fontId="27" fillId="7" borderId="1" xfId="0" applyFont="1" applyFill="1" applyBorder="1" applyAlignment="1">
      <alignment wrapText="1"/>
    </xf>
    <xf numFmtId="0" fontId="27" fillId="7" borderId="11" xfId="0" applyFont="1" applyFill="1" applyBorder="1" applyAlignment="1">
      <alignment vertical="top" wrapText="1"/>
    </xf>
    <xf numFmtId="0" fontId="29" fillId="0" borderId="4" xfId="0" applyFont="1" applyBorder="1" applyAlignment="1">
      <alignment horizontal="center"/>
    </xf>
    <xf numFmtId="0" fontId="45" fillId="0" borderId="13" xfId="0" applyFont="1" applyBorder="1" applyAlignment="1">
      <alignment horizontal="center"/>
    </xf>
    <xf numFmtId="0" fontId="15" fillId="0" borderId="18" xfId="0" applyFont="1" applyBorder="1" applyAlignment="1">
      <alignment horizontal="center" vertical="top"/>
    </xf>
    <xf numFmtId="0" fontId="29" fillId="0" borderId="13" xfId="0" applyFont="1" applyBorder="1" applyAlignment="1">
      <alignment horizontal="center"/>
    </xf>
    <xf numFmtId="0" fontId="27" fillId="7" borderId="12" xfId="0" applyFont="1" applyFill="1" applyBorder="1" applyAlignment="1">
      <alignment vertical="top"/>
    </xf>
    <xf numFmtId="0" fontId="12" fillId="7" borderId="5" xfId="0" applyFont="1" applyFill="1" applyBorder="1"/>
    <xf numFmtId="0" fontId="5" fillId="0" borderId="13" xfId="0" applyFont="1" applyBorder="1" applyAlignment="1">
      <alignment horizontal="center"/>
    </xf>
    <xf numFmtId="0" fontId="27" fillId="0" borderId="1" xfId="0" applyFont="1" applyBorder="1" applyAlignment="1">
      <alignment horizontal="center"/>
    </xf>
    <xf numFmtId="0" fontId="46" fillId="0" borderId="5" xfId="0" applyFont="1" applyBorder="1" applyAlignment="1">
      <alignment horizontal="right"/>
    </xf>
    <xf numFmtId="3" fontId="44" fillId="0" borderId="22" xfId="0" applyNumberFormat="1" applyFont="1" applyBorder="1" applyAlignment="1">
      <alignment horizontal="center" vertical="center"/>
    </xf>
    <xf numFmtId="0" fontId="47" fillId="0" borderId="0" xfId="0" applyFont="1" applyAlignment="1">
      <alignment horizontal="center"/>
    </xf>
    <xf numFmtId="3" fontId="46" fillId="0" borderId="0" xfId="0" applyNumberFormat="1" applyFont="1" applyAlignment="1">
      <alignment horizontal="center" vertical="top"/>
    </xf>
    <xf numFmtId="3" fontId="0" fillId="0" borderId="0" xfId="0" applyNumberFormat="1" applyAlignment="1">
      <alignment horizontal="center"/>
    </xf>
    <xf numFmtId="3" fontId="46" fillId="0" borderId="0" xfId="0" applyNumberFormat="1" applyFont="1"/>
    <xf numFmtId="0" fontId="3" fillId="7" borderId="14" xfId="0" applyFont="1" applyFill="1" applyBorder="1" applyAlignment="1">
      <alignment horizontal="left" vertical="top" wrapText="1"/>
    </xf>
    <xf numFmtId="0" fontId="4" fillId="7" borderId="18" xfId="0" applyFont="1" applyFill="1" applyBorder="1" applyAlignment="1">
      <alignment horizontal="center" vertical="top" wrapText="1"/>
    </xf>
    <xf numFmtId="0" fontId="3" fillId="7" borderId="19" xfId="0" applyFont="1" applyFill="1" applyBorder="1" applyAlignment="1">
      <alignment horizontal="left" vertical="top" wrapText="1"/>
    </xf>
    <xf numFmtId="0" fontId="27" fillId="7" borderId="11" xfId="0" applyFont="1" applyFill="1" applyBorder="1"/>
    <xf numFmtId="0" fontId="12" fillId="7" borderId="18" xfId="0" applyFont="1" applyFill="1" applyBorder="1" applyAlignment="1">
      <alignment horizontal="center" vertical="center"/>
    </xf>
    <xf numFmtId="0" fontId="27" fillId="7" borderId="18" xfId="0" applyFont="1" applyFill="1" applyBorder="1"/>
    <xf numFmtId="0" fontId="12" fillId="7" borderId="18" xfId="0" applyFont="1" applyFill="1" applyBorder="1" applyAlignment="1">
      <alignment horizontal="center" vertical="top"/>
    </xf>
    <xf numFmtId="0" fontId="0" fillId="0" borderId="18" xfId="0" applyBorder="1" applyAlignment="1">
      <alignment horizontal="center" vertical="top"/>
    </xf>
    <xf numFmtId="0" fontId="27" fillId="7" borderId="18" xfId="0" applyFont="1" applyFill="1" applyBorder="1" applyAlignment="1">
      <alignment vertical="top" wrapText="1"/>
    </xf>
    <xf numFmtId="0" fontId="0" fillId="7" borderId="1" xfId="0" applyFill="1" applyBorder="1" applyAlignment="1">
      <alignment horizontal="center" vertical="top"/>
    </xf>
    <xf numFmtId="0" fontId="0" fillId="7" borderId="1" xfId="0" applyFill="1" applyBorder="1" applyAlignment="1">
      <alignment horizontal="center"/>
    </xf>
    <xf numFmtId="0" fontId="12" fillId="7" borderId="11" xfId="0" applyFont="1" applyFill="1" applyBorder="1" applyAlignment="1">
      <alignment horizontal="center" vertical="top" wrapText="1"/>
    </xf>
    <xf numFmtId="0" fontId="27" fillId="7" borderId="6" xfId="0" applyFont="1" applyFill="1" applyBorder="1"/>
    <xf numFmtId="0" fontId="12" fillId="7" borderId="16" xfId="0" applyFont="1" applyFill="1" applyBorder="1" applyAlignment="1">
      <alignment horizontal="center" vertical="top" wrapText="1"/>
    </xf>
    <xf numFmtId="0" fontId="12" fillId="7" borderId="20" xfId="0" applyFont="1" applyFill="1" applyBorder="1" applyAlignment="1">
      <alignment horizontal="center" vertical="top"/>
    </xf>
    <xf numFmtId="0" fontId="12" fillId="7" borderId="6" xfId="0" applyFont="1" applyFill="1" applyBorder="1"/>
    <xf numFmtId="0" fontId="12" fillId="7" borderId="6" xfId="0" applyFont="1" applyFill="1" applyBorder="1" applyAlignment="1">
      <alignment horizontal="center" vertical="top" wrapText="1"/>
    </xf>
    <xf numFmtId="0" fontId="0" fillId="7" borderId="11" xfId="0" applyFill="1" applyBorder="1" applyAlignment="1">
      <alignment horizontal="center"/>
    </xf>
    <xf numFmtId="0" fontId="0" fillId="7" borderId="18" xfId="0" applyFill="1" applyBorder="1" applyAlignment="1">
      <alignment horizontal="center"/>
    </xf>
    <xf numFmtId="3" fontId="48" fillId="0" borderId="0" xfId="0" applyNumberFormat="1" applyFont="1"/>
    <xf numFmtId="0" fontId="40" fillId="7" borderId="5" xfId="0" applyFont="1" applyFill="1" applyBorder="1"/>
    <xf numFmtId="0" fontId="40" fillId="7" borderId="12" xfId="0" applyFont="1" applyFill="1" applyBorder="1"/>
    <xf numFmtId="0" fontId="40" fillId="7" borderId="18" xfId="0" applyFont="1" applyFill="1" applyBorder="1"/>
    <xf numFmtId="0" fontId="40" fillId="7" borderId="10" xfId="0" applyFont="1" applyFill="1" applyBorder="1"/>
    <xf numFmtId="0" fontId="40" fillId="7" borderId="13" xfId="0" applyFont="1" applyFill="1" applyBorder="1"/>
    <xf numFmtId="0" fontId="40" fillId="7" borderId="19" xfId="0" applyFont="1" applyFill="1" applyBorder="1"/>
    <xf numFmtId="0" fontId="40" fillId="7" borderId="4" xfId="0" applyFont="1" applyFill="1" applyBorder="1"/>
    <xf numFmtId="3" fontId="44" fillId="0" borderId="0" xfId="0" applyNumberFormat="1" applyFont="1"/>
    <xf numFmtId="0" fontId="13" fillId="2" borderId="23" xfId="0" applyFont="1" applyFill="1" applyBorder="1" applyAlignment="1">
      <alignment horizontal="center" vertical="top" wrapText="1"/>
    </xf>
    <xf numFmtId="0" fontId="4" fillId="2" borderId="5" xfId="0" applyFont="1" applyFill="1" applyBorder="1" applyAlignment="1">
      <alignment horizontal="center" vertical="top" wrapText="1"/>
    </xf>
    <xf numFmtId="0" fontId="43" fillId="0" borderId="24" xfId="0" applyFont="1" applyBorder="1" applyAlignment="1">
      <alignment horizontal="center"/>
    </xf>
    <xf numFmtId="0" fontId="0" fillId="0" borderId="5" xfId="0" applyBorder="1" applyAlignment="1">
      <alignment horizontal="center"/>
    </xf>
    <xf numFmtId="0" fontId="43" fillId="0" borderId="24" xfId="0" applyFont="1" applyBorder="1" applyAlignment="1">
      <alignment horizontal="center" vertical="top"/>
    </xf>
    <xf numFmtId="0" fontId="43" fillId="0" borderId="0" xfId="0" applyFont="1" applyAlignment="1">
      <alignment horizontal="center"/>
    </xf>
    <xf numFmtId="0" fontId="27" fillId="7" borderId="0" xfId="0" applyFont="1" applyFill="1"/>
    <xf numFmtId="0" fontId="0" fillId="7" borderId="0" xfId="0" applyFill="1"/>
    <xf numFmtId="0" fontId="43" fillId="0" borderId="5" xfId="0" applyFont="1" applyBorder="1" applyAlignment="1">
      <alignment horizontal="center" vertical="center"/>
    </xf>
    <xf numFmtId="0" fontId="27" fillId="7" borderId="5" xfId="0" applyFont="1" applyFill="1" applyBorder="1"/>
    <xf numFmtId="0" fontId="12" fillId="7" borderId="5" xfId="0" applyFont="1" applyFill="1" applyBorder="1" applyAlignment="1">
      <alignment horizontal="center" vertical="center"/>
    </xf>
    <xf numFmtId="0" fontId="12" fillId="0" borderId="24" xfId="0" applyFont="1" applyBorder="1" applyAlignment="1">
      <alignment horizontal="center" vertical="top"/>
    </xf>
    <xf numFmtId="0" fontId="43" fillId="0" borderId="5" xfId="0" applyFont="1" applyBorder="1" applyAlignment="1">
      <alignment horizontal="center" vertical="top"/>
    </xf>
    <xf numFmtId="0" fontId="12" fillId="7" borderId="5" xfId="0" applyFont="1" applyFill="1" applyBorder="1" applyAlignment="1">
      <alignment horizontal="center" vertical="top"/>
    </xf>
    <xf numFmtId="0" fontId="46" fillId="0" borderId="1" xfId="0" applyFont="1" applyBorder="1"/>
    <xf numFmtId="3" fontId="44" fillId="0" borderId="22" xfId="0" applyNumberFormat="1" applyFont="1" applyBorder="1"/>
    <xf numFmtId="0" fontId="12" fillId="7" borderId="1" xfId="0" applyFont="1" applyFill="1" applyBorder="1" applyAlignment="1">
      <alignment horizontal="left" vertical="top"/>
    </xf>
    <xf numFmtId="0" fontId="12" fillId="7" borderId="1" xfId="0" applyFont="1" applyFill="1" applyBorder="1" applyAlignment="1">
      <alignment horizontal="left" vertical="center"/>
    </xf>
    <xf numFmtId="0" fontId="12" fillId="7" borderId="1" xfId="0" quotePrefix="1" applyFont="1" applyFill="1" applyBorder="1" applyAlignment="1">
      <alignment horizontal="left" vertical="top"/>
    </xf>
    <xf numFmtId="0" fontId="3" fillId="7" borderId="1" xfId="0" applyFont="1" applyFill="1" applyBorder="1" applyAlignment="1">
      <alignment horizontal="left" vertical="top"/>
    </xf>
    <xf numFmtId="0" fontId="3" fillId="7" borderId="1" xfId="0" applyFont="1" applyFill="1" applyBorder="1" applyAlignment="1">
      <alignment horizontal="left" vertical="center" wrapText="1"/>
    </xf>
    <xf numFmtId="0" fontId="12" fillId="7" borderId="1" xfId="0" applyFont="1" applyFill="1" applyBorder="1" applyAlignment="1">
      <alignment horizontal="right" vertical="top"/>
    </xf>
    <xf numFmtId="0" fontId="3" fillId="7"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2" fillId="7" borderId="1" xfId="0" applyFont="1" applyFill="1" applyBorder="1"/>
    <xf numFmtId="0" fontId="3" fillId="0" borderId="1" xfId="0" applyFont="1" applyBorder="1" applyAlignment="1">
      <alignment horizontal="center" vertical="center"/>
    </xf>
    <xf numFmtId="0" fontId="12" fillId="0" borderId="5" xfId="0" applyFont="1" applyBorder="1" applyAlignment="1">
      <alignment horizontal="center" vertical="top" wrapText="1"/>
    </xf>
    <xf numFmtId="3" fontId="44" fillId="0" borderId="25" xfId="0" applyNumberFormat="1" applyFont="1" applyBorder="1"/>
    <xf numFmtId="0" fontId="0" fillId="7" borderId="1" xfId="0" applyFill="1" applyBorder="1"/>
    <xf numFmtId="3" fontId="48" fillId="0" borderId="0" xfId="0" applyNumberFormat="1" applyFont="1" applyAlignment="1">
      <alignment horizontal="center" vertical="center"/>
    </xf>
    <xf numFmtId="0" fontId="49" fillId="2" borderId="14" xfId="0" applyFont="1" applyFill="1" applyBorder="1" applyAlignment="1">
      <alignment horizontal="center" vertical="top" wrapText="1"/>
    </xf>
    <xf numFmtId="0" fontId="3" fillId="7" borderId="5" xfId="0" applyFont="1" applyFill="1" applyBorder="1" applyAlignment="1">
      <alignment horizontal="center" vertical="top" wrapText="1"/>
    </xf>
    <xf numFmtId="0" fontId="3" fillId="0" borderId="1" xfId="0" applyFont="1" applyBorder="1" applyAlignment="1">
      <alignment horizontal="center" vertical="top"/>
    </xf>
    <xf numFmtId="0" fontId="12" fillId="7" borderId="5" xfId="0" applyFont="1" applyFill="1" applyBorder="1" applyAlignment="1">
      <alignment horizontal="center"/>
    </xf>
    <xf numFmtId="0" fontId="3" fillId="0" borderId="18" xfId="0" applyFont="1" applyBorder="1" applyAlignment="1">
      <alignment horizontal="center"/>
    </xf>
    <xf numFmtId="0" fontId="14" fillId="0" borderId="1" xfId="0" applyFont="1" applyBorder="1" applyAlignment="1">
      <alignment vertical="top"/>
    </xf>
    <xf numFmtId="3" fontId="44" fillId="0" borderId="26" xfId="0" applyNumberFormat="1" applyFont="1" applyBorder="1"/>
    <xf numFmtId="0" fontId="1" fillId="0" borderId="1" xfId="0" applyFont="1" applyBorder="1" applyAlignment="1">
      <alignment horizontal="center" vertical="top"/>
    </xf>
    <xf numFmtId="0" fontId="3" fillId="0" borderId="5" xfId="0" applyFont="1" applyBorder="1" applyAlignment="1">
      <alignment horizontal="center" vertical="top"/>
    </xf>
    <xf numFmtId="0" fontId="12" fillId="0" borderId="5" xfId="0" applyFont="1" applyBorder="1" applyAlignment="1">
      <alignment vertical="top"/>
    </xf>
    <xf numFmtId="0" fontId="12" fillId="0" borderId="18" xfId="0" applyFont="1" applyBorder="1" applyAlignment="1">
      <alignment vertical="top"/>
    </xf>
    <xf numFmtId="0" fontId="14" fillId="2" borderId="1" xfId="0" applyFont="1" applyFill="1" applyBorder="1" applyAlignment="1">
      <alignment vertical="top"/>
    </xf>
    <xf numFmtId="0" fontId="4" fillId="14" borderId="11" xfId="0" applyFont="1" applyFill="1" applyBorder="1"/>
    <xf numFmtId="0" fontId="14" fillId="2" borderId="18" xfId="0" applyFont="1" applyFill="1" applyBorder="1"/>
    <xf numFmtId="0" fontId="3" fillId="12" borderId="14" xfId="0" applyFont="1" applyFill="1" applyBorder="1"/>
    <xf numFmtId="0" fontId="12" fillId="7" borderId="18" xfId="0" applyFont="1" applyFill="1" applyBorder="1" applyAlignment="1">
      <alignment vertical="top"/>
    </xf>
    <xf numFmtId="0" fontId="12" fillId="7" borderId="6" xfId="0" applyFont="1" applyFill="1" applyBorder="1" applyAlignment="1">
      <alignment horizontal="center" vertical="top"/>
    </xf>
    <xf numFmtId="0" fontId="3" fillId="12" borderId="14" xfId="0" applyFont="1" applyFill="1" applyBorder="1" applyAlignment="1">
      <alignment wrapText="1"/>
    </xf>
    <xf numFmtId="0" fontId="26" fillId="12" borderId="14" xfId="0" applyFont="1" applyFill="1" applyBorder="1"/>
    <xf numFmtId="0" fontId="26" fillId="12" borderId="11" xfId="0" applyFont="1" applyFill="1" applyBorder="1" applyAlignment="1">
      <alignment horizontal="left"/>
    </xf>
    <xf numFmtId="0" fontId="26" fillId="12" borderId="12" xfId="0" applyFont="1" applyFill="1" applyBorder="1" applyAlignment="1">
      <alignment horizontal="left"/>
    </xf>
    <xf numFmtId="0" fontId="26" fillId="12" borderId="5" xfId="0" applyFont="1" applyFill="1" applyBorder="1" applyAlignment="1">
      <alignment horizontal="left"/>
    </xf>
    <xf numFmtId="0" fontId="12" fillId="0" borderId="0" xfId="0" applyFont="1" applyFill="1" applyAlignment="1">
      <alignment horizontal="left" vertical="top" wrapText="1"/>
    </xf>
    <xf numFmtId="0" fontId="12" fillId="0" borderId="0" xfId="0" applyFont="1" applyAlignment="1">
      <alignment horizontal="left" vertical="top" wrapText="1"/>
    </xf>
  </cellXfs>
  <cellStyles count="6">
    <cellStyle name="Hyperlink" xfId="1" builtinId="8"/>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125</xdr:row>
      <xdr:rowOff>0</xdr:rowOff>
    </xdr:from>
    <xdr:to>
      <xdr:col>17</xdr:col>
      <xdr:colOff>116733</xdr:colOff>
      <xdr:row>153</xdr:row>
      <xdr:rowOff>116981</xdr:rowOff>
    </xdr:to>
    <xdr:pic>
      <xdr:nvPicPr>
        <xdr:cNvPr id="3" name="Picture 2">
          <a:extLst>
            <a:ext uri="{FF2B5EF4-FFF2-40B4-BE49-F238E27FC236}">
              <a16:creationId xmlns:a16="http://schemas.microsoft.com/office/drawing/2014/main" id="{DAA1427B-DD0C-4422-916B-008643EFE140}"/>
            </a:ext>
          </a:extLst>
        </xdr:cNvPr>
        <xdr:cNvPicPr>
          <a:picLocks noChangeAspect="1"/>
        </xdr:cNvPicPr>
      </xdr:nvPicPr>
      <xdr:blipFill>
        <a:blip xmlns:r="http://schemas.openxmlformats.org/officeDocument/2006/relationships" r:embed="rId1"/>
        <a:stretch>
          <a:fillRect/>
        </a:stretch>
      </xdr:blipFill>
      <xdr:spPr>
        <a:xfrm>
          <a:off x="0" y="26384250"/>
          <a:ext cx="17856093" cy="52376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javascript:showDefinitionDetails('Firm-defined%20on%20FARM%20APCS.','SEC_OBJ1');" TargetMode="External"/><Relationship Id="rId2" Type="http://schemas.openxmlformats.org/officeDocument/2006/relationships/hyperlink" Target="javascript:showDefinitionDetails('Firm-defined%20on%20FARM%20APCS.','SEC_OBJ1');" TargetMode="External"/><Relationship Id="rId1" Type="http://schemas.openxmlformats.org/officeDocument/2006/relationships/hyperlink" Target="javascript:showDefinitionDetails('Firm-defined%20on%20FARM%20APCS.','SEC_OBJ1');" TargetMode="External"/><Relationship Id="rId5" Type="http://schemas.openxmlformats.org/officeDocument/2006/relationships/printerSettings" Target="../printerSettings/printerSettings4.bin"/><Relationship Id="rId4" Type="http://schemas.openxmlformats.org/officeDocument/2006/relationships/hyperlink" Target="javascript:showDefinitionDetails('Firm-defined%20on%20FARM%20APCS.','SEC_OBJ1');"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javascript:showDefinitionDetails('Firm-defined%20on%20FARM%20APCS.','SEC_OBJ1');" TargetMode="External"/><Relationship Id="rId2" Type="http://schemas.openxmlformats.org/officeDocument/2006/relationships/hyperlink" Target="javascript:showDefinitionDetails('Firm-defined%20on%20FARM%20APCS.','SEC_OBJ1');" TargetMode="External"/><Relationship Id="rId1" Type="http://schemas.openxmlformats.org/officeDocument/2006/relationships/hyperlink" Target="javascript:showDefinitionDetails('Firm-defined%20on%20FARM%20APCS.','SEC_OBJ1');" TargetMode="External"/><Relationship Id="rId5" Type="http://schemas.openxmlformats.org/officeDocument/2006/relationships/printerSettings" Target="../printerSettings/printerSettings8.bin"/><Relationship Id="rId4" Type="http://schemas.openxmlformats.org/officeDocument/2006/relationships/hyperlink" Target="javascript:showDefinitionDetails('Firm-defined%20on%20FARM%20APCS.','SEC_OBJ1');"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zoomScaleNormal="100" workbookViewId="0">
      <selection activeCell="B3" sqref="B3"/>
    </sheetView>
  </sheetViews>
  <sheetFormatPr defaultRowHeight="14.4"/>
  <cols>
    <col min="1" max="1" width="34.21875" customWidth="1"/>
    <col min="2" max="2" width="26" customWidth="1"/>
    <col min="3" max="3" width="42.21875" customWidth="1"/>
    <col min="4" max="4" width="42" customWidth="1"/>
    <col min="5" max="5" width="13.21875" customWidth="1"/>
  </cols>
  <sheetData>
    <row r="1" spans="1:8" ht="36" customHeight="1">
      <c r="A1" s="34" t="s">
        <v>558</v>
      </c>
      <c r="B1" s="35"/>
      <c r="C1" s="35"/>
      <c r="D1" s="35"/>
      <c r="E1" s="36"/>
      <c r="F1" s="36"/>
      <c r="G1" s="36"/>
      <c r="H1" s="37"/>
    </row>
    <row r="2" spans="1:8">
      <c r="A2" s="38" t="s">
        <v>0</v>
      </c>
      <c r="B2" s="39">
        <v>45771</v>
      </c>
    </row>
    <row r="3" spans="1:8">
      <c r="A3" s="41" t="s">
        <v>1</v>
      </c>
      <c r="B3" s="42">
        <v>45861</v>
      </c>
      <c r="C3" s="92" t="s">
        <v>2</v>
      </c>
    </row>
    <row r="4" spans="1:8">
      <c r="A4" s="41"/>
      <c r="B4" s="42"/>
      <c r="C4" s="38" t="s">
        <v>3</v>
      </c>
    </row>
    <row r="5" spans="1:8">
      <c r="A5" s="40" t="s">
        <v>4</v>
      </c>
      <c r="B5" s="263" t="s">
        <v>559</v>
      </c>
    </row>
    <row r="6" spans="1:8">
      <c r="A6" s="40" t="s">
        <v>5</v>
      </c>
      <c r="B6" s="264" t="s">
        <v>560</v>
      </c>
    </row>
    <row r="8" spans="1:8">
      <c r="A8" s="5" t="s">
        <v>6</v>
      </c>
      <c r="B8" t="s">
        <v>588</v>
      </c>
      <c r="C8" t="s">
        <v>7</v>
      </c>
    </row>
    <row r="9" spans="1:8">
      <c r="A9" s="5" t="s">
        <v>8</v>
      </c>
      <c r="B9" s="5" t="s">
        <v>561</v>
      </c>
    </row>
    <row r="10" spans="1:8">
      <c r="A10" s="5"/>
    </row>
    <row r="11" spans="1:8">
      <c r="A11" s="58" t="s">
        <v>9</v>
      </c>
      <c r="B11" s="58" t="s">
        <v>10</v>
      </c>
    </row>
    <row r="12" spans="1:8">
      <c r="A12" s="59" t="s">
        <v>564</v>
      </c>
      <c r="B12" s="4" t="s">
        <v>11</v>
      </c>
    </row>
    <row r="13" spans="1:8">
      <c r="A13" s="59" t="s">
        <v>565</v>
      </c>
      <c r="B13" s="46" t="s">
        <v>12</v>
      </c>
    </row>
    <row r="14" spans="1:8">
      <c r="A14" s="59" t="s">
        <v>566</v>
      </c>
      <c r="B14" s="4" t="s">
        <v>13</v>
      </c>
      <c r="C14" s="36"/>
      <c r="D14" s="44"/>
    </row>
    <row r="16" spans="1:8">
      <c r="A16" s="45" t="s">
        <v>14</v>
      </c>
      <c r="C16" s="40"/>
    </row>
    <row r="17" spans="1:4">
      <c r="A17" s="87" t="s">
        <v>15</v>
      </c>
      <c r="B17" s="87" t="s">
        <v>562</v>
      </c>
      <c r="D17" s="40"/>
    </row>
    <row r="18" spans="1:4">
      <c r="A18" s="87" t="s">
        <v>16</v>
      </c>
      <c r="B18" s="87" t="s">
        <v>563</v>
      </c>
    </row>
    <row r="19" spans="1:4">
      <c r="A19" s="87" t="s">
        <v>17</v>
      </c>
      <c r="B19" s="87" t="s">
        <v>587</v>
      </c>
    </row>
    <row r="20" spans="1:4">
      <c r="A20" s="87" t="s">
        <v>19</v>
      </c>
      <c r="B20" s="87" t="s">
        <v>587</v>
      </c>
    </row>
    <row r="21" spans="1:4">
      <c r="A21" s="43"/>
      <c r="C21" s="43"/>
    </row>
    <row r="22" spans="1:4">
      <c r="A22" s="5" t="s">
        <v>7</v>
      </c>
      <c r="C22" s="5" t="s">
        <v>7</v>
      </c>
    </row>
    <row r="23" spans="1:4">
      <c r="B23" t="s">
        <v>20</v>
      </c>
      <c r="D23" s="5" t="s">
        <v>7</v>
      </c>
    </row>
    <row r="24" spans="1:4">
      <c r="D24" s="5" t="s">
        <v>7</v>
      </c>
    </row>
    <row r="25" spans="1:4">
      <c r="A25" s="43"/>
      <c r="C25" s="43"/>
    </row>
    <row r="26" spans="1:4">
      <c r="A26" s="5"/>
      <c r="C26" s="5"/>
    </row>
    <row r="27" spans="1:4">
      <c r="A27" s="5"/>
      <c r="B27" s="5"/>
    </row>
  </sheetData>
  <pageMargins left="0.2" right="0.21" top="0.57999999999999996" bottom="0.49" header="0.3" footer="0.17"/>
  <pageSetup scale="99" orientation="landscape" r:id="rId1"/>
  <headerFooter>
    <oddHeader>&amp;L&amp;"Arial,Regular"Refinitiv&amp;C&amp;"Arial,Regular"DEMO Reverse Mapping &amp;A&amp;R&amp;"Arial,Regular"New Installations - Conversions</oddHeader>
    <oddFooter>&amp;L&amp;8Confidential&amp;C&amp;8&amp;D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tabSelected="1" zoomScaleNormal="100" workbookViewId="0">
      <selection activeCell="D8" sqref="D8"/>
    </sheetView>
  </sheetViews>
  <sheetFormatPr defaultColWidth="8.21875" defaultRowHeight="14.4"/>
  <cols>
    <col min="1" max="1" width="9.5546875" bestFit="1" customWidth="1"/>
    <col min="2" max="2" width="16" bestFit="1" customWidth="1"/>
    <col min="3" max="3" width="5.44140625" customWidth="1"/>
    <col min="4" max="4" width="109" customWidth="1"/>
    <col min="5" max="252" width="9.21875" customWidth="1"/>
    <col min="253" max="253" width="7.77734375" bestFit="1" customWidth="1"/>
    <col min="254" max="254" width="4.44140625" bestFit="1" customWidth="1"/>
    <col min="255" max="255" width="47.44140625" customWidth="1"/>
  </cols>
  <sheetData>
    <row r="1" spans="1:4" ht="28.8">
      <c r="A1" s="190" t="s">
        <v>21</v>
      </c>
      <c r="B1" s="191" t="s">
        <v>22</v>
      </c>
      <c r="C1" s="190" t="s">
        <v>23</v>
      </c>
      <c r="D1" s="190" t="s">
        <v>24</v>
      </c>
    </row>
    <row r="2" spans="1:4">
      <c r="A2" s="189">
        <v>45861</v>
      </c>
      <c r="B2" s="185" t="s">
        <v>589</v>
      </c>
      <c r="C2" s="185" t="s">
        <v>590</v>
      </c>
      <c r="D2" s="185" t="s">
        <v>591</v>
      </c>
    </row>
    <row r="3" spans="1:4">
      <c r="A3" s="186"/>
      <c r="B3" s="187"/>
      <c r="C3" s="185"/>
      <c r="D3" s="187"/>
    </row>
    <row r="4" spans="1:4">
      <c r="A4" s="188"/>
      <c r="B4" s="187"/>
      <c r="C4" s="184"/>
      <c r="D4" s="187"/>
    </row>
    <row r="5" spans="1:4">
      <c r="A5" s="186"/>
      <c r="B5" s="187"/>
      <c r="C5" s="185"/>
      <c r="D5" s="187"/>
    </row>
    <row r="6" spans="1:4">
      <c r="A6" s="186"/>
      <c r="B6" s="187"/>
      <c r="C6" s="185"/>
      <c r="D6" s="187"/>
    </row>
    <row r="7" spans="1:4">
      <c r="A7" s="188"/>
      <c r="B7" s="187"/>
      <c r="C7" s="184"/>
      <c r="D7" s="187"/>
    </row>
    <row r="8" spans="1:4">
      <c r="A8" s="188"/>
      <c r="B8" s="187"/>
      <c r="C8" s="184"/>
      <c r="D8" s="187"/>
    </row>
    <row r="9" spans="1:4">
      <c r="A9" s="186"/>
      <c r="B9" s="187"/>
      <c r="C9" s="185"/>
      <c r="D9" s="187"/>
    </row>
    <row r="10" spans="1:4">
      <c r="A10" s="186"/>
      <c r="B10" s="187"/>
      <c r="C10" s="185"/>
      <c r="D10" s="187"/>
    </row>
    <row r="11" spans="1:4">
      <c r="A11" s="186"/>
      <c r="B11" s="187"/>
      <c r="C11" s="185"/>
      <c r="D11" s="186"/>
    </row>
    <row r="12" spans="1:4">
      <c r="A12" s="186"/>
      <c r="B12" s="187"/>
      <c r="C12" s="185"/>
      <c r="D12" s="187"/>
    </row>
    <row r="13" spans="1:4">
      <c r="A13" s="189"/>
      <c r="B13" s="184"/>
      <c r="C13" s="184"/>
      <c r="D13" s="184"/>
    </row>
    <row r="14" spans="1:4">
      <c r="A14" s="184"/>
      <c r="B14" s="184"/>
      <c r="C14" s="184"/>
      <c r="D14" s="184"/>
    </row>
    <row r="15" spans="1:4">
      <c r="A15" s="184"/>
      <c r="B15" s="184"/>
      <c r="C15" s="184"/>
      <c r="D15" s="184"/>
    </row>
    <row r="16" spans="1:4">
      <c r="A16" s="184"/>
      <c r="B16" s="184"/>
      <c r="C16" s="184"/>
      <c r="D16" s="184"/>
    </row>
    <row r="17" spans="1:4">
      <c r="A17" s="184"/>
      <c r="B17" s="184"/>
      <c r="C17" s="184"/>
      <c r="D17" s="184"/>
    </row>
    <row r="18" spans="1:4">
      <c r="A18" s="184"/>
      <c r="B18" s="184"/>
      <c r="C18" s="184"/>
      <c r="D18" s="184"/>
    </row>
    <row r="19" spans="1:4">
      <c r="A19" s="184"/>
      <c r="B19" s="184"/>
      <c r="C19" s="184"/>
      <c r="D19" s="184"/>
    </row>
    <row r="20" spans="1:4">
      <c r="A20" s="184"/>
      <c r="B20" s="184"/>
      <c r="C20" s="184"/>
      <c r="D20" s="184"/>
    </row>
    <row r="21" spans="1:4">
      <c r="A21" s="184"/>
      <c r="B21" s="184"/>
      <c r="C21" s="184"/>
      <c r="D21" s="184"/>
    </row>
    <row r="22" spans="1:4">
      <c r="A22" s="184"/>
      <c r="B22" s="184"/>
      <c r="C22" s="184"/>
      <c r="D22" s="184"/>
    </row>
    <row r="23" spans="1:4">
      <c r="A23" s="184"/>
      <c r="B23" s="184"/>
      <c r="C23" s="184"/>
      <c r="D23" s="184"/>
    </row>
    <row r="24" spans="1:4">
      <c r="A24" s="184"/>
      <c r="B24" s="184"/>
      <c r="C24" s="184"/>
      <c r="D24" s="184"/>
    </row>
    <row r="25" spans="1:4">
      <c r="A25" s="184"/>
      <c r="B25" s="184"/>
      <c r="C25" s="184"/>
      <c r="D25" s="184"/>
    </row>
    <row r="26" spans="1:4">
      <c r="A26" s="184"/>
      <c r="B26" s="184"/>
      <c r="C26" s="184"/>
      <c r="D26" s="184"/>
    </row>
    <row r="27" spans="1:4">
      <c r="A27" s="184"/>
      <c r="B27" s="184"/>
      <c r="C27" s="184"/>
      <c r="D27" s="184"/>
    </row>
    <row r="28" spans="1:4">
      <c r="A28" s="184"/>
      <c r="B28" s="184"/>
      <c r="C28" s="184"/>
      <c r="D28" s="184"/>
    </row>
    <row r="29" spans="1:4">
      <c r="A29" s="184"/>
      <c r="B29" s="184"/>
      <c r="C29" s="184"/>
      <c r="D29" s="184"/>
    </row>
    <row r="30" spans="1:4">
      <c r="A30" s="184"/>
      <c r="B30" s="184"/>
      <c r="C30" s="184"/>
      <c r="D30" s="184"/>
    </row>
  </sheetData>
  <printOptions gridLines="1"/>
  <pageMargins left="0.25" right="0.25" top="0.7" bottom="0.5" header="0.3" footer="0.17"/>
  <pageSetup orientation="landscape" r:id="rId1"/>
  <headerFooter>
    <oddHeader>&amp;L&amp;"Arial,Regular"Refinitiv&amp;C&amp;"Arial,Regular"DEMO Reverse Mapping &amp;A&amp;R&amp;"Arial,Regular"New Installations-Conversions</oddHeader>
    <oddFooter>&amp;L&amp;8Confidential&amp;C&amp;8&amp;D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election activeCell="B2" sqref="B2"/>
    </sheetView>
  </sheetViews>
  <sheetFormatPr defaultRowHeight="14.4"/>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7"/>
  <sheetViews>
    <sheetView zoomScaleNormal="100" workbookViewId="0">
      <pane xSplit="1" ySplit="1" topLeftCell="B2" activePane="bottomRight" state="frozen"/>
      <selection pane="topRight" activeCell="B1" sqref="B1"/>
      <selection pane="bottomLeft" activeCell="A2" sqref="A2"/>
      <selection pane="bottomRight" activeCell="B1" sqref="B1"/>
    </sheetView>
  </sheetViews>
  <sheetFormatPr defaultColWidth="9.21875" defaultRowHeight="12"/>
  <cols>
    <col min="1" max="1" width="4.21875" style="5" customWidth="1"/>
    <col min="2" max="2" width="8" style="7" customWidth="1"/>
    <col min="3" max="3" width="7.77734375" style="7" customWidth="1"/>
    <col min="4" max="4" width="9.21875" style="16" customWidth="1"/>
    <col min="5" max="5" width="8.21875" style="16" customWidth="1"/>
    <col min="6" max="6" width="14.21875" style="72" customWidth="1"/>
    <col min="7" max="7" width="27.44140625" style="7" customWidth="1"/>
    <col min="8" max="8" width="32.77734375" style="27" customWidth="1"/>
    <col min="9" max="10" width="23.77734375" style="12" customWidth="1"/>
    <col min="11" max="11" width="29.77734375" style="12" customWidth="1"/>
    <col min="12" max="12" width="1.77734375" style="53" customWidth="1"/>
    <col min="13" max="13" width="4.21875" style="57" customWidth="1"/>
    <col min="14" max="15" width="20.77734375" style="25" customWidth="1"/>
    <col min="16" max="16" width="29.77734375" style="12" customWidth="1"/>
    <col min="17" max="17" width="34.5546875" style="6" customWidth="1"/>
    <col min="18" max="20" width="31.77734375" style="12" customWidth="1"/>
    <col min="21" max="21" width="31.77734375" style="7" customWidth="1"/>
    <col min="22" max="22" width="31.77734375" style="5" customWidth="1"/>
    <col min="23" max="16384" width="9.21875" style="5"/>
  </cols>
  <sheetData>
    <row r="1" spans="1:22" s="28" customFormat="1" ht="36">
      <c r="A1" s="29"/>
      <c r="B1" s="61" t="s">
        <v>25</v>
      </c>
      <c r="C1" s="61" t="s">
        <v>26</v>
      </c>
      <c r="D1" s="122" t="s">
        <v>27</v>
      </c>
      <c r="E1" s="61" t="s">
        <v>28</v>
      </c>
      <c r="F1" s="122" t="s">
        <v>29</v>
      </c>
      <c r="G1" s="61" t="s">
        <v>30</v>
      </c>
      <c r="H1" s="123" t="s">
        <v>31</v>
      </c>
      <c r="I1" s="29" t="s">
        <v>32</v>
      </c>
      <c r="J1" s="61" t="s">
        <v>33</v>
      </c>
      <c r="K1" s="61" t="s">
        <v>34</v>
      </c>
      <c r="L1" s="61" t="s">
        <v>35</v>
      </c>
      <c r="M1" s="61" t="s">
        <v>36</v>
      </c>
      <c r="N1" s="60" t="s">
        <v>37</v>
      </c>
      <c r="O1" s="60" t="s">
        <v>38</v>
      </c>
      <c r="P1" s="100" t="s">
        <v>567</v>
      </c>
      <c r="Q1" s="100" t="s">
        <v>556</v>
      </c>
      <c r="R1" s="61" t="s">
        <v>39</v>
      </c>
      <c r="S1" s="61" t="s">
        <v>40</v>
      </c>
      <c r="T1" s="61" t="s">
        <v>41</v>
      </c>
      <c r="U1" s="61" t="s">
        <v>42</v>
      </c>
      <c r="V1" s="61" t="s">
        <v>43</v>
      </c>
    </row>
    <row r="2" spans="1:22">
      <c r="A2" s="30">
        <v>1</v>
      </c>
      <c r="B2" s="156"/>
      <c r="C2" s="156"/>
      <c r="D2" s="124">
        <v>1</v>
      </c>
      <c r="E2" s="159" t="s">
        <v>44</v>
      </c>
      <c r="F2" s="147" t="s">
        <v>7</v>
      </c>
      <c r="G2" s="150" t="s">
        <v>45</v>
      </c>
      <c r="H2" s="155"/>
      <c r="I2" s="150"/>
      <c r="J2" s="151"/>
      <c r="K2" s="192" t="s">
        <v>47</v>
      </c>
      <c r="L2" s="160"/>
      <c r="M2" s="153" t="s">
        <v>46</v>
      </c>
      <c r="N2" s="161"/>
      <c r="O2" s="161"/>
      <c r="P2" s="192" t="s">
        <v>47</v>
      </c>
      <c r="Q2" s="192" t="s">
        <v>47</v>
      </c>
      <c r="R2" s="163" t="s">
        <v>47</v>
      </c>
      <c r="S2" s="150"/>
      <c r="T2" s="150"/>
      <c r="U2" s="156"/>
      <c r="V2" s="125"/>
    </row>
    <row r="3" spans="1:22" ht="79.8">
      <c r="A3" s="30">
        <v>2</v>
      </c>
      <c r="B3" s="3"/>
      <c r="C3" s="3"/>
      <c r="D3" s="15">
        <v>51</v>
      </c>
      <c r="E3" s="62" t="s">
        <v>48</v>
      </c>
      <c r="F3" s="63" t="s">
        <v>7</v>
      </c>
      <c r="G3" s="14" t="s">
        <v>49</v>
      </c>
      <c r="H3" s="101" t="s">
        <v>50</v>
      </c>
      <c r="I3" s="1" t="s">
        <v>51</v>
      </c>
      <c r="J3" s="111"/>
      <c r="K3" s="193" t="s">
        <v>47</v>
      </c>
      <c r="L3" s="47"/>
      <c r="M3" s="117" t="s">
        <v>52</v>
      </c>
      <c r="N3" s="18"/>
      <c r="O3" s="18"/>
      <c r="P3" s="193" t="s">
        <v>47</v>
      </c>
      <c r="Q3" s="193" t="s">
        <v>47</v>
      </c>
      <c r="R3" s="163" t="s">
        <v>47</v>
      </c>
      <c r="S3" s="101"/>
      <c r="T3" s="1"/>
      <c r="U3" s="13"/>
      <c r="V3" s="4"/>
    </row>
    <row r="4" spans="1:22" ht="61.2">
      <c r="A4" s="30">
        <v>3</v>
      </c>
      <c r="B4" s="13"/>
      <c r="C4" s="13"/>
      <c r="D4" s="15">
        <v>59</v>
      </c>
      <c r="E4" s="62" t="s">
        <v>48</v>
      </c>
      <c r="F4" s="63" t="s">
        <v>53</v>
      </c>
      <c r="G4" s="1" t="s">
        <v>54</v>
      </c>
      <c r="H4" s="101" t="s">
        <v>55</v>
      </c>
      <c r="I4" s="12" t="s">
        <v>56</v>
      </c>
      <c r="J4" s="111"/>
      <c r="K4" s="101" t="s">
        <v>58</v>
      </c>
      <c r="L4" s="48"/>
      <c r="M4" s="117" t="s">
        <v>46</v>
      </c>
      <c r="N4" s="17"/>
      <c r="O4" s="17"/>
      <c r="P4" s="101" t="s">
        <v>58</v>
      </c>
      <c r="Q4" s="101" t="s">
        <v>58</v>
      </c>
      <c r="R4" s="101" t="s">
        <v>57</v>
      </c>
      <c r="S4" s="101" t="s">
        <v>58</v>
      </c>
      <c r="T4" s="1"/>
      <c r="U4" s="13"/>
      <c r="V4" s="4"/>
    </row>
    <row r="5" spans="1:22" ht="71.400000000000006">
      <c r="A5" s="30">
        <v>4</v>
      </c>
      <c r="B5" s="3" t="s">
        <v>7</v>
      </c>
      <c r="C5" s="3"/>
      <c r="D5" s="15">
        <v>67</v>
      </c>
      <c r="E5" s="62" t="s">
        <v>18</v>
      </c>
      <c r="F5" s="63" t="s">
        <v>59</v>
      </c>
      <c r="G5" s="14" t="s">
        <v>60</v>
      </c>
      <c r="H5" s="101" t="s">
        <v>61</v>
      </c>
      <c r="I5" s="1"/>
      <c r="J5" s="111"/>
      <c r="K5" s="194" t="s">
        <v>62</v>
      </c>
      <c r="L5" s="47"/>
      <c r="M5" s="117" t="s">
        <v>46</v>
      </c>
      <c r="N5" s="18"/>
      <c r="O5" s="18"/>
      <c r="P5" s="194" t="s">
        <v>62</v>
      </c>
      <c r="Q5" s="194" t="s">
        <v>62</v>
      </c>
      <c r="R5" s="14" t="s">
        <v>62</v>
      </c>
      <c r="S5" s="101" t="s">
        <v>7</v>
      </c>
      <c r="T5" s="1"/>
      <c r="U5" s="13"/>
      <c r="V5" s="4"/>
    </row>
    <row r="6" spans="1:22" ht="91.2">
      <c r="A6" s="30">
        <v>5</v>
      </c>
      <c r="B6" s="13"/>
      <c r="C6" s="13"/>
      <c r="D6" s="15">
        <v>68</v>
      </c>
      <c r="E6" s="15" t="s">
        <v>63</v>
      </c>
      <c r="F6" s="63" t="s">
        <v>64</v>
      </c>
      <c r="G6" s="1" t="s">
        <v>65</v>
      </c>
      <c r="H6" s="101" t="s">
        <v>66</v>
      </c>
      <c r="I6" s="164" t="s">
        <v>67</v>
      </c>
      <c r="J6" s="111"/>
      <c r="K6" s="194" t="s">
        <v>327</v>
      </c>
      <c r="L6" s="48"/>
      <c r="M6" s="117" t="s">
        <v>46</v>
      </c>
      <c r="N6" s="19"/>
      <c r="O6" s="19"/>
      <c r="P6" s="194" t="s">
        <v>327</v>
      </c>
      <c r="Q6" s="194" t="s">
        <v>327</v>
      </c>
      <c r="R6" s="14" t="s">
        <v>62</v>
      </c>
      <c r="S6" s="101" t="s">
        <v>68</v>
      </c>
      <c r="T6" s="178" t="s">
        <v>69</v>
      </c>
      <c r="U6" s="13"/>
      <c r="V6" s="4"/>
    </row>
    <row r="7" spans="1:22" ht="102.6">
      <c r="A7" s="30">
        <v>6</v>
      </c>
      <c r="B7" s="3"/>
      <c r="C7" s="3"/>
      <c r="D7" s="15">
        <v>98</v>
      </c>
      <c r="E7" s="62" t="s">
        <v>63</v>
      </c>
      <c r="F7" s="63" t="s">
        <v>70</v>
      </c>
      <c r="G7" s="14" t="s">
        <v>71</v>
      </c>
      <c r="H7" s="101" t="s">
        <v>72</v>
      </c>
      <c r="I7" s="164" t="s">
        <v>73</v>
      </c>
      <c r="J7" s="111"/>
      <c r="K7" s="194" t="s">
        <v>327</v>
      </c>
      <c r="L7" s="47"/>
      <c r="M7" s="117" t="s">
        <v>46</v>
      </c>
      <c r="N7" s="18"/>
      <c r="O7" s="18"/>
      <c r="P7" s="194" t="s">
        <v>327</v>
      </c>
      <c r="Q7" s="194" t="s">
        <v>327</v>
      </c>
      <c r="R7" s="14" t="s">
        <v>62</v>
      </c>
      <c r="S7" s="101" t="s">
        <v>74</v>
      </c>
      <c r="T7" s="178" t="s">
        <v>75</v>
      </c>
      <c r="U7" s="13"/>
      <c r="V7" s="4"/>
    </row>
    <row r="8" spans="1:22" ht="148.19999999999999">
      <c r="A8" s="30">
        <v>7</v>
      </c>
      <c r="B8" s="13"/>
      <c r="C8" s="13"/>
      <c r="D8" s="15">
        <v>128</v>
      </c>
      <c r="E8" s="62" t="s">
        <v>63</v>
      </c>
      <c r="F8" s="63" t="s">
        <v>76</v>
      </c>
      <c r="G8" s="1" t="s">
        <v>77</v>
      </c>
      <c r="H8" s="101" t="s">
        <v>78</v>
      </c>
      <c r="I8" s="164" t="s">
        <v>79</v>
      </c>
      <c r="J8" s="111"/>
      <c r="K8" s="194" t="s">
        <v>327</v>
      </c>
      <c r="L8" s="48"/>
      <c r="M8" s="117" t="s">
        <v>46</v>
      </c>
      <c r="N8" s="18"/>
      <c r="O8" s="18"/>
      <c r="P8" s="194" t="s">
        <v>327</v>
      </c>
      <c r="Q8" s="194" t="s">
        <v>327</v>
      </c>
      <c r="R8" s="14" t="s">
        <v>62</v>
      </c>
      <c r="S8" s="101" t="s">
        <v>80</v>
      </c>
      <c r="T8" s="178" t="s">
        <v>81</v>
      </c>
      <c r="U8" s="13"/>
      <c r="V8" s="4"/>
    </row>
    <row r="9" spans="1:22" ht="57">
      <c r="A9" s="30">
        <v>8</v>
      </c>
      <c r="B9" s="3"/>
      <c r="C9" s="3"/>
      <c r="D9" s="15">
        <v>158</v>
      </c>
      <c r="E9" s="62" t="s">
        <v>82</v>
      </c>
      <c r="F9" s="63" t="s">
        <v>83</v>
      </c>
      <c r="G9" s="14" t="s">
        <v>84</v>
      </c>
      <c r="H9" s="101" t="s">
        <v>85</v>
      </c>
      <c r="I9" s="164" t="s">
        <v>86</v>
      </c>
      <c r="J9" s="111"/>
      <c r="K9" s="194" t="s">
        <v>327</v>
      </c>
      <c r="L9" s="47"/>
      <c r="M9" s="118" t="s">
        <v>46</v>
      </c>
      <c r="N9" s="18"/>
      <c r="O9" s="18"/>
      <c r="P9" s="194" t="s">
        <v>327</v>
      </c>
      <c r="Q9" s="194" t="s">
        <v>327</v>
      </c>
      <c r="R9" s="14" t="s">
        <v>62</v>
      </c>
      <c r="S9" s="101" t="s">
        <v>87</v>
      </c>
      <c r="T9" s="178" t="s">
        <v>88</v>
      </c>
      <c r="U9" s="13"/>
      <c r="V9" s="4"/>
    </row>
    <row r="10" spans="1:22" ht="57">
      <c r="A10" s="30">
        <v>9</v>
      </c>
      <c r="B10" s="3"/>
      <c r="C10" s="3"/>
      <c r="D10" s="15">
        <v>160</v>
      </c>
      <c r="E10" s="62" t="s">
        <v>89</v>
      </c>
      <c r="F10" s="63" t="s">
        <v>7</v>
      </c>
      <c r="G10" s="14" t="s">
        <v>90</v>
      </c>
      <c r="H10" s="101" t="s">
        <v>91</v>
      </c>
      <c r="I10" s="1" t="s">
        <v>92</v>
      </c>
      <c r="J10" s="111"/>
      <c r="K10" s="194" t="s">
        <v>327</v>
      </c>
      <c r="L10" s="47"/>
      <c r="M10" s="117" t="s">
        <v>46</v>
      </c>
      <c r="N10" s="18"/>
      <c r="O10" s="18"/>
      <c r="P10" s="194" t="s">
        <v>327</v>
      </c>
      <c r="Q10" s="194" t="s">
        <v>327</v>
      </c>
      <c r="R10" s="14" t="s">
        <v>62</v>
      </c>
      <c r="S10" s="101" t="s">
        <v>93</v>
      </c>
      <c r="T10" s="178" t="s">
        <v>94</v>
      </c>
      <c r="U10" s="13"/>
      <c r="V10" s="4"/>
    </row>
    <row r="11" spans="1:22" ht="34.200000000000003">
      <c r="A11" s="30">
        <v>10</v>
      </c>
      <c r="B11" s="3"/>
      <c r="C11" s="3"/>
      <c r="D11" s="15">
        <v>165</v>
      </c>
      <c r="E11" s="15" t="s">
        <v>89</v>
      </c>
      <c r="F11" s="63" t="s">
        <v>7</v>
      </c>
      <c r="G11" s="14" t="s">
        <v>95</v>
      </c>
      <c r="H11" s="101" t="s">
        <v>96</v>
      </c>
      <c r="I11" s="1" t="s">
        <v>97</v>
      </c>
      <c r="J11" s="111"/>
      <c r="K11" s="194" t="s">
        <v>327</v>
      </c>
      <c r="L11" s="47"/>
      <c r="M11" s="117" t="s">
        <v>46</v>
      </c>
      <c r="N11" s="18"/>
      <c r="O11" s="18"/>
      <c r="P11" s="194" t="s">
        <v>327</v>
      </c>
      <c r="Q11" s="194" t="s">
        <v>327</v>
      </c>
      <c r="R11" s="14" t="s">
        <v>62</v>
      </c>
      <c r="S11" s="101" t="s">
        <v>98</v>
      </c>
      <c r="T11" s="1"/>
      <c r="U11" s="13"/>
      <c r="V11" s="4"/>
    </row>
    <row r="12" spans="1:22" ht="81.599999999999994">
      <c r="A12" s="30">
        <v>11</v>
      </c>
      <c r="B12" s="13"/>
      <c r="C12" s="13"/>
      <c r="D12" s="15">
        <v>170</v>
      </c>
      <c r="E12" s="15" t="s">
        <v>18</v>
      </c>
      <c r="F12" s="63" t="s">
        <v>99</v>
      </c>
      <c r="G12" s="1" t="s">
        <v>100</v>
      </c>
      <c r="H12" s="101" t="s">
        <v>101</v>
      </c>
      <c r="I12" s="1"/>
      <c r="J12" s="111"/>
      <c r="K12" s="194" t="s">
        <v>327</v>
      </c>
      <c r="L12" s="49" t="s">
        <v>18</v>
      </c>
      <c r="M12" s="117" t="s">
        <v>46</v>
      </c>
      <c r="N12" s="19"/>
      <c r="O12" s="19"/>
      <c r="P12" s="194" t="s">
        <v>327</v>
      </c>
      <c r="Q12" s="194" t="s">
        <v>327</v>
      </c>
      <c r="R12" s="14" t="s">
        <v>62</v>
      </c>
      <c r="S12" s="101" t="s">
        <v>7</v>
      </c>
      <c r="T12" s="1"/>
      <c r="U12" s="13"/>
      <c r="V12" s="4"/>
    </row>
    <row r="13" spans="1:22" ht="122.4">
      <c r="A13" s="30">
        <v>12</v>
      </c>
      <c r="B13" s="13"/>
      <c r="C13" s="13"/>
      <c r="D13" s="15">
        <v>171</v>
      </c>
      <c r="E13" s="15" t="s">
        <v>18</v>
      </c>
      <c r="F13" s="63" t="s">
        <v>102</v>
      </c>
      <c r="G13" s="1" t="s">
        <v>103</v>
      </c>
      <c r="H13" s="101" t="s">
        <v>104</v>
      </c>
      <c r="I13" s="1" t="s">
        <v>105</v>
      </c>
      <c r="J13" s="111"/>
      <c r="K13" s="194" t="s">
        <v>327</v>
      </c>
      <c r="L13" s="91" t="s">
        <v>18</v>
      </c>
      <c r="M13" s="117" t="s">
        <v>46</v>
      </c>
      <c r="N13" s="18"/>
      <c r="O13" s="18"/>
      <c r="P13" s="194" t="s">
        <v>327</v>
      </c>
      <c r="Q13" s="194" t="s">
        <v>327</v>
      </c>
      <c r="R13" s="14" t="s">
        <v>62</v>
      </c>
      <c r="S13" s="101" t="s">
        <v>106</v>
      </c>
      <c r="T13" s="1"/>
      <c r="U13" s="13"/>
      <c r="V13" s="4"/>
    </row>
    <row r="14" spans="1:22" ht="40.799999999999997">
      <c r="A14" s="30">
        <v>13</v>
      </c>
      <c r="B14" s="13"/>
      <c r="C14" s="13"/>
      <c r="D14" s="15">
        <v>172</v>
      </c>
      <c r="E14" s="15" t="s">
        <v>107</v>
      </c>
      <c r="F14" s="63" t="s">
        <v>108</v>
      </c>
      <c r="G14" s="1" t="s">
        <v>109</v>
      </c>
      <c r="H14" s="101" t="s">
        <v>110</v>
      </c>
      <c r="I14" s="1" t="s">
        <v>7</v>
      </c>
      <c r="J14" s="111"/>
      <c r="K14" s="194" t="s">
        <v>327</v>
      </c>
      <c r="L14" s="49" t="s">
        <v>18</v>
      </c>
      <c r="M14" s="117" t="s">
        <v>46</v>
      </c>
      <c r="N14" s="20"/>
      <c r="O14" s="20"/>
      <c r="P14" s="194" t="s">
        <v>327</v>
      </c>
      <c r="Q14" s="194" t="s">
        <v>327</v>
      </c>
      <c r="R14" s="14" t="s">
        <v>62</v>
      </c>
      <c r="S14" s="1"/>
      <c r="T14" s="1"/>
      <c r="U14" s="13"/>
      <c r="V14" s="4"/>
    </row>
    <row r="15" spans="1:22" ht="20.399999999999999">
      <c r="A15" s="30">
        <v>14</v>
      </c>
      <c r="B15" s="13"/>
      <c r="C15" s="13"/>
      <c r="D15" s="15">
        <v>174</v>
      </c>
      <c r="E15" s="15" t="s">
        <v>48</v>
      </c>
      <c r="F15" s="63" t="s">
        <v>7</v>
      </c>
      <c r="G15" s="1" t="s">
        <v>111</v>
      </c>
      <c r="H15" s="101" t="s">
        <v>112</v>
      </c>
      <c r="I15" s="1" t="s">
        <v>7</v>
      </c>
      <c r="J15" s="111"/>
      <c r="K15" s="194" t="s">
        <v>327</v>
      </c>
      <c r="L15" s="49" t="s">
        <v>18</v>
      </c>
      <c r="M15" s="117" t="s">
        <v>46</v>
      </c>
      <c r="N15" s="20"/>
      <c r="O15" s="20"/>
      <c r="P15" s="194" t="s">
        <v>327</v>
      </c>
      <c r="Q15" s="194" t="s">
        <v>327</v>
      </c>
      <c r="R15" s="14" t="s">
        <v>62</v>
      </c>
      <c r="S15" s="1"/>
      <c r="T15" s="1"/>
      <c r="U15" s="13"/>
      <c r="V15" s="4"/>
    </row>
    <row r="16" spans="1:22" ht="30.6">
      <c r="A16" s="30">
        <v>15</v>
      </c>
      <c r="B16" s="13"/>
      <c r="C16" s="13"/>
      <c r="D16" s="15">
        <v>182</v>
      </c>
      <c r="E16" s="15" t="s">
        <v>63</v>
      </c>
      <c r="F16" s="63" t="s">
        <v>7</v>
      </c>
      <c r="G16" s="1" t="s">
        <v>113</v>
      </c>
      <c r="H16" s="101" t="s">
        <v>114</v>
      </c>
      <c r="I16" s="1" t="s">
        <v>7</v>
      </c>
      <c r="J16" s="111"/>
      <c r="K16" s="194" t="s">
        <v>327</v>
      </c>
      <c r="L16" s="49" t="s">
        <v>18</v>
      </c>
      <c r="M16" s="117" t="s">
        <v>46</v>
      </c>
      <c r="N16" s="20"/>
      <c r="O16" s="20"/>
      <c r="P16" s="194" t="s">
        <v>327</v>
      </c>
      <c r="Q16" s="194" t="s">
        <v>327</v>
      </c>
      <c r="R16" s="14" t="s">
        <v>62</v>
      </c>
      <c r="S16" s="1"/>
      <c r="T16" s="1"/>
      <c r="U16" s="13"/>
      <c r="V16" s="4"/>
    </row>
    <row r="17" spans="1:22" ht="30.6">
      <c r="A17" s="30">
        <v>16</v>
      </c>
      <c r="B17" s="13"/>
      <c r="C17" s="13"/>
      <c r="D17" s="15">
        <v>212</v>
      </c>
      <c r="E17" s="15" t="s">
        <v>63</v>
      </c>
      <c r="F17" s="63"/>
      <c r="G17" s="1" t="s">
        <v>115</v>
      </c>
      <c r="H17" s="101" t="s">
        <v>116</v>
      </c>
      <c r="I17" s="1" t="s">
        <v>7</v>
      </c>
      <c r="J17" s="111"/>
      <c r="K17" s="194" t="s">
        <v>327</v>
      </c>
      <c r="L17" s="49" t="s">
        <v>18</v>
      </c>
      <c r="M17" s="117" t="s">
        <v>46</v>
      </c>
      <c r="N17" s="20"/>
      <c r="O17" s="20"/>
      <c r="P17" s="194" t="s">
        <v>327</v>
      </c>
      <c r="Q17" s="194" t="s">
        <v>327</v>
      </c>
      <c r="R17" s="14" t="s">
        <v>62</v>
      </c>
      <c r="S17" s="1"/>
      <c r="T17" s="1"/>
      <c r="U17" s="13"/>
      <c r="V17" s="4"/>
    </row>
    <row r="18" spans="1:22" ht="30.6">
      <c r="A18" s="30">
        <v>17</v>
      </c>
      <c r="B18" s="13"/>
      <c r="C18" s="13"/>
      <c r="D18" s="15">
        <v>242</v>
      </c>
      <c r="E18" s="15" t="s">
        <v>63</v>
      </c>
      <c r="F18" s="63"/>
      <c r="G18" s="1" t="s">
        <v>117</v>
      </c>
      <c r="H18" s="101" t="s">
        <v>118</v>
      </c>
      <c r="I18" s="1" t="s">
        <v>7</v>
      </c>
      <c r="J18" s="111"/>
      <c r="K18" s="194" t="s">
        <v>327</v>
      </c>
      <c r="L18" s="49" t="s">
        <v>18</v>
      </c>
      <c r="M18" s="117" t="s">
        <v>46</v>
      </c>
      <c r="N18" s="20"/>
      <c r="O18" s="20"/>
      <c r="P18" s="194" t="s">
        <v>327</v>
      </c>
      <c r="Q18" s="194" t="s">
        <v>327</v>
      </c>
      <c r="R18" s="14" t="s">
        <v>62</v>
      </c>
      <c r="S18" s="1"/>
      <c r="T18" s="1"/>
      <c r="U18" s="13"/>
      <c r="V18" s="4"/>
    </row>
    <row r="19" spans="1:22" ht="30.6">
      <c r="A19" s="30">
        <v>18</v>
      </c>
      <c r="B19" s="13"/>
      <c r="C19" s="13"/>
      <c r="D19" s="15">
        <v>272</v>
      </c>
      <c r="E19" s="15" t="s">
        <v>82</v>
      </c>
      <c r="F19" s="63"/>
      <c r="G19" s="1" t="s">
        <v>119</v>
      </c>
      <c r="H19" s="101" t="s">
        <v>120</v>
      </c>
      <c r="I19" s="1" t="s">
        <v>7</v>
      </c>
      <c r="J19" s="111"/>
      <c r="K19" s="194" t="s">
        <v>327</v>
      </c>
      <c r="L19" s="49" t="s">
        <v>18</v>
      </c>
      <c r="M19" s="117" t="s">
        <v>46</v>
      </c>
      <c r="N19" s="20"/>
      <c r="O19" s="20"/>
      <c r="P19" s="194" t="s">
        <v>327</v>
      </c>
      <c r="Q19" s="194" t="s">
        <v>327</v>
      </c>
      <c r="R19" s="14" t="s">
        <v>62</v>
      </c>
      <c r="S19" s="1"/>
      <c r="T19" s="1"/>
      <c r="U19" s="13"/>
      <c r="V19" s="4"/>
    </row>
    <row r="20" spans="1:22">
      <c r="A20" s="30">
        <v>19</v>
      </c>
      <c r="B20" s="3"/>
      <c r="C20" s="3"/>
      <c r="D20" s="15">
        <v>274</v>
      </c>
      <c r="E20" s="15" t="s">
        <v>89</v>
      </c>
      <c r="F20" s="63"/>
      <c r="G20" s="14" t="s">
        <v>121</v>
      </c>
      <c r="H20" s="101" t="s">
        <v>122</v>
      </c>
      <c r="I20" s="1"/>
      <c r="J20" s="111"/>
      <c r="K20" s="194" t="s">
        <v>327</v>
      </c>
      <c r="L20" s="47"/>
      <c r="M20" s="117" t="s">
        <v>46</v>
      </c>
      <c r="N20" s="18"/>
      <c r="O20" s="18"/>
      <c r="P20" s="194" t="s">
        <v>327</v>
      </c>
      <c r="Q20" s="194" t="s">
        <v>327</v>
      </c>
      <c r="R20" s="14" t="s">
        <v>62</v>
      </c>
      <c r="S20" s="1"/>
      <c r="T20" s="1"/>
      <c r="U20" s="13"/>
      <c r="V20" s="4"/>
    </row>
    <row r="21" spans="1:22">
      <c r="A21" s="30">
        <v>20</v>
      </c>
      <c r="B21" s="3"/>
      <c r="C21" s="3"/>
      <c r="D21" s="15">
        <v>279</v>
      </c>
      <c r="E21" s="62" t="s">
        <v>89</v>
      </c>
      <c r="F21" s="63"/>
      <c r="G21" s="14" t="s">
        <v>123</v>
      </c>
      <c r="H21" s="101" t="s">
        <v>124</v>
      </c>
      <c r="I21" s="1"/>
      <c r="J21" s="111"/>
      <c r="K21" s="194" t="s">
        <v>327</v>
      </c>
      <c r="L21" s="47"/>
      <c r="M21" s="117" t="s">
        <v>46</v>
      </c>
      <c r="N21" s="18"/>
      <c r="O21" s="18"/>
      <c r="P21" s="194" t="s">
        <v>327</v>
      </c>
      <c r="Q21" s="194" t="s">
        <v>327</v>
      </c>
      <c r="R21" s="14" t="s">
        <v>62</v>
      </c>
      <c r="S21" s="1"/>
      <c r="T21" s="1"/>
      <c r="U21" s="13"/>
      <c r="V21" s="4"/>
    </row>
    <row r="22" spans="1:22" ht="81.599999999999994">
      <c r="A22" s="30">
        <v>21</v>
      </c>
      <c r="B22" s="3"/>
      <c r="C22" s="3"/>
      <c r="D22" s="15">
        <v>284</v>
      </c>
      <c r="E22" s="62" t="s">
        <v>18</v>
      </c>
      <c r="F22" s="63"/>
      <c r="G22" s="14" t="s">
        <v>125</v>
      </c>
      <c r="H22" s="101" t="s">
        <v>126</v>
      </c>
      <c r="I22" s="1"/>
      <c r="J22" s="111"/>
      <c r="K22" s="194" t="s">
        <v>327</v>
      </c>
      <c r="L22" s="47"/>
      <c r="M22" s="117" t="s">
        <v>46</v>
      </c>
      <c r="N22" s="18"/>
      <c r="O22" s="18"/>
      <c r="P22" s="194" t="s">
        <v>327</v>
      </c>
      <c r="Q22" s="194" t="s">
        <v>327</v>
      </c>
      <c r="R22" s="14" t="s">
        <v>62</v>
      </c>
      <c r="S22" s="1"/>
      <c r="T22" s="1"/>
      <c r="U22" s="13"/>
      <c r="V22" s="4"/>
    </row>
    <row r="23" spans="1:22" ht="102">
      <c r="A23" s="30">
        <v>22</v>
      </c>
      <c r="B23" s="13"/>
      <c r="C23" s="13"/>
      <c r="D23" s="62">
        <v>285</v>
      </c>
      <c r="E23" s="15" t="s">
        <v>18</v>
      </c>
      <c r="F23" s="63"/>
      <c r="G23" s="1" t="s">
        <v>127</v>
      </c>
      <c r="H23" s="101" t="s">
        <v>128</v>
      </c>
      <c r="I23" s="178" t="s">
        <v>105</v>
      </c>
      <c r="J23" s="111"/>
      <c r="K23" s="194" t="s">
        <v>327</v>
      </c>
      <c r="L23" s="48"/>
      <c r="M23" s="117" t="s">
        <v>46</v>
      </c>
      <c r="N23" s="19"/>
      <c r="O23" s="19"/>
      <c r="P23" s="194" t="s">
        <v>327</v>
      </c>
      <c r="Q23" s="194" t="s">
        <v>327</v>
      </c>
      <c r="R23" s="14" t="s">
        <v>62</v>
      </c>
      <c r="S23" s="1" t="s">
        <v>129</v>
      </c>
      <c r="T23" s="1"/>
      <c r="U23" s="13"/>
      <c r="V23" s="4"/>
    </row>
    <row r="24" spans="1:22" ht="30.6">
      <c r="A24" s="30">
        <v>23</v>
      </c>
      <c r="B24" s="13"/>
      <c r="C24" s="13"/>
      <c r="D24" s="15">
        <v>286</v>
      </c>
      <c r="E24" s="62" t="s">
        <v>107</v>
      </c>
      <c r="F24" s="63"/>
      <c r="G24" s="1" t="s">
        <v>130</v>
      </c>
      <c r="H24" s="101" t="s">
        <v>131</v>
      </c>
      <c r="I24" s="1"/>
      <c r="J24" s="111"/>
      <c r="K24" s="194" t="s">
        <v>327</v>
      </c>
      <c r="L24" s="50"/>
      <c r="M24" s="117" t="s">
        <v>46</v>
      </c>
      <c r="N24" s="20"/>
      <c r="O24" s="20"/>
      <c r="P24" s="194" t="s">
        <v>327</v>
      </c>
      <c r="Q24" s="194" t="s">
        <v>327</v>
      </c>
      <c r="R24" s="14" t="s">
        <v>62</v>
      </c>
      <c r="S24" s="1"/>
      <c r="T24" s="1"/>
      <c r="U24" s="13"/>
      <c r="V24" s="4"/>
    </row>
    <row r="25" spans="1:22" ht="112.2">
      <c r="A25" s="30">
        <v>24</v>
      </c>
      <c r="B25" s="13"/>
      <c r="C25" s="13"/>
      <c r="D25" s="15">
        <v>288</v>
      </c>
      <c r="E25" s="62" t="s">
        <v>18</v>
      </c>
      <c r="F25" s="63" t="s">
        <v>132</v>
      </c>
      <c r="G25" s="1" t="s">
        <v>133</v>
      </c>
      <c r="H25" s="101" t="s">
        <v>134</v>
      </c>
      <c r="I25" s="1" t="s">
        <v>135</v>
      </c>
      <c r="J25" s="111"/>
      <c r="K25" s="194" t="s">
        <v>136</v>
      </c>
      <c r="L25" s="89" t="s">
        <v>18</v>
      </c>
      <c r="M25" s="117" t="s">
        <v>46</v>
      </c>
      <c r="N25" s="20"/>
      <c r="O25" s="20"/>
      <c r="P25" s="194" t="s">
        <v>136</v>
      </c>
      <c r="Q25" s="194" t="s">
        <v>136</v>
      </c>
      <c r="R25" s="14" t="s">
        <v>62</v>
      </c>
      <c r="S25" s="1" t="s">
        <v>136</v>
      </c>
      <c r="T25" s="1"/>
      <c r="U25" s="13"/>
      <c r="V25" s="4"/>
    </row>
    <row r="26" spans="1:22" ht="30.6">
      <c r="A26" s="30">
        <v>25</v>
      </c>
      <c r="B26" s="3"/>
      <c r="C26" s="3"/>
      <c r="D26" s="15">
        <v>289</v>
      </c>
      <c r="E26" s="62" t="s">
        <v>137</v>
      </c>
      <c r="F26" s="63" t="s">
        <v>7</v>
      </c>
      <c r="G26" s="14" t="s">
        <v>138</v>
      </c>
      <c r="H26" s="101" t="s">
        <v>139</v>
      </c>
      <c r="I26" s="1"/>
      <c r="J26" s="111"/>
      <c r="K26" s="194" t="s">
        <v>327</v>
      </c>
      <c r="L26" s="47"/>
      <c r="M26" s="117" t="s">
        <v>46</v>
      </c>
      <c r="N26" s="18"/>
      <c r="O26" s="18"/>
      <c r="P26" s="194" t="s">
        <v>327</v>
      </c>
      <c r="Q26" s="194" t="s">
        <v>327</v>
      </c>
      <c r="R26" s="14" t="s">
        <v>62</v>
      </c>
      <c r="S26" s="1"/>
      <c r="T26" s="1"/>
      <c r="U26" s="13"/>
      <c r="V26" s="4"/>
    </row>
    <row r="27" spans="1:22" ht="81.599999999999994">
      <c r="A27" s="30">
        <v>26</v>
      </c>
      <c r="B27" s="13"/>
      <c r="C27" s="13"/>
      <c r="D27" s="15">
        <v>301</v>
      </c>
      <c r="E27" s="15" t="s">
        <v>18</v>
      </c>
      <c r="F27" s="63" t="s">
        <v>140</v>
      </c>
      <c r="G27" s="1" t="s">
        <v>141</v>
      </c>
      <c r="H27" s="101" t="s">
        <v>142</v>
      </c>
      <c r="I27" s="1" t="s">
        <v>143</v>
      </c>
      <c r="J27" s="111"/>
      <c r="K27" s="194" t="s">
        <v>144</v>
      </c>
      <c r="L27" s="91" t="s">
        <v>18</v>
      </c>
      <c r="M27" s="117" t="s">
        <v>46</v>
      </c>
      <c r="N27" s="18"/>
      <c r="O27" s="18"/>
      <c r="P27" s="194" t="s">
        <v>144</v>
      </c>
      <c r="Q27" s="194" t="s">
        <v>144</v>
      </c>
      <c r="R27" s="14" t="s">
        <v>62</v>
      </c>
      <c r="S27" s="1" t="s">
        <v>144</v>
      </c>
      <c r="T27" s="1"/>
      <c r="U27" s="13"/>
      <c r="V27" s="4"/>
    </row>
    <row r="28" spans="1:22" ht="81.599999999999994">
      <c r="A28" s="30">
        <v>27</v>
      </c>
      <c r="B28" s="13"/>
      <c r="C28" s="13"/>
      <c r="D28" s="15">
        <v>302</v>
      </c>
      <c r="E28" s="15" t="s">
        <v>18</v>
      </c>
      <c r="F28" s="63" t="s">
        <v>145</v>
      </c>
      <c r="G28" s="1" t="s">
        <v>146</v>
      </c>
      <c r="H28" s="101" t="s">
        <v>147</v>
      </c>
      <c r="I28" s="1"/>
      <c r="J28" s="111"/>
      <c r="K28" s="194" t="s">
        <v>327</v>
      </c>
      <c r="L28" s="49" t="s">
        <v>18</v>
      </c>
      <c r="M28" s="117" t="s">
        <v>46</v>
      </c>
      <c r="N28" s="18"/>
      <c r="O28" s="18"/>
      <c r="P28" s="194" t="s">
        <v>327</v>
      </c>
      <c r="Q28" s="194" t="s">
        <v>327</v>
      </c>
      <c r="R28" s="14" t="s">
        <v>62</v>
      </c>
      <c r="S28" s="1"/>
      <c r="T28" s="1"/>
      <c r="U28" s="13"/>
      <c r="V28" s="4"/>
    </row>
    <row r="29" spans="1:22" ht="45.6">
      <c r="A29" s="30">
        <v>28</v>
      </c>
      <c r="B29" s="3"/>
      <c r="C29" s="3"/>
      <c r="D29" s="15">
        <v>303</v>
      </c>
      <c r="E29" s="15" t="s">
        <v>107</v>
      </c>
      <c r="F29" s="63" t="s">
        <v>148</v>
      </c>
      <c r="G29" s="14" t="s">
        <v>149</v>
      </c>
      <c r="H29" s="101" t="s">
        <v>150</v>
      </c>
      <c r="I29" s="1" t="s">
        <v>151</v>
      </c>
      <c r="J29" s="111"/>
      <c r="K29" s="194" t="s">
        <v>327</v>
      </c>
      <c r="L29" s="47"/>
      <c r="M29" s="117" t="s">
        <v>46</v>
      </c>
      <c r="N29" s="18"/>
      <c r="O29" s="18"/>
      <c r="P29" s="194" t="s">
        <v>327</v>
      </c>
      <c r="Q29" s="194" t="s">
        <v>327</v>
      </c>
      <c r="R29" s="14" t="s">
        <v>62</v>
      </c>
      <c r="S29" s="1" t="s">
        <v>152</v>
      </c>
      <c r="T29" s="1"/>
      <c r="U29" s="13"/>
      <c r="V29" s="4"/>
    </row>
    <row r="30" spans="1:22" ht="34.200000000000003">
      <c r="A30" s="30">
        <v>29</v>
      </c>
      <c r="B30" s="13"/>
      <c r="C30" s="13"/>
      <c r="D30" s="15">
        <v>305</v>
      </c>
      <c r="E30" s="15" t="s">
        <v>107</v>
      </c>
      <c r="F30" s="63" t="s">
        <v>153</v>
      </c>
      <c r="G30" s="1" t="s">
        <v>154</v>
      </c>
      <c r="H30" s="101" t="s">
        <v>155</v>
      </c>
      <c r="I30" s="1" t="s">
        <v>156</v>
      </c>
      <c r="J30" s="111"/>
      <c r="K30" s="194" t="s">
        <v>144</v>
      </c>
      <c r="L30" s="91" t="s">
        <v>18</v>
      </c>
      <c r="M30" s="117" t="s">
        <v>46</v>
      </c>
      <c r="N30" s="21"/>
      <c r="O30" s="21"/>
      <c r="P30" s="194" t="s">
        <v>144</v>
      </c>
      <c r="Q30" s="194" t="s">
        <v>144</v>
      </c>
      <c r="R30" s="14" t="s">
        <v>62</v>
      </c>
      <c r="S30" s="1" t="s">
        <v>144</v>
      </c>
      <c r="T30" s="1"/>
      <c r="U30" s="13"/>
      <c r="V30" s="4"/>
    </row>
    <row r="31" spans="1:22" ht="71.400000000000006">
      <c r="A31" s="30">
        <v>30</v>
      </c>
      <c r="B31" s="3"/>
      <c r="C31" s="3"/>
      <c r="D31" s="15">
        <v>307</v>
      </c>
      <c r="E31" s="15" t="s">
        <v>18</v>
      </c>
      <c r="F31" s="63" t="s">
        <v>157</v>
      </c>
      <c r="G31" s="14" t="s">
        <v>158</v>
      </c>
      <c r="H31" s="101" t="s">
        <v>159</v>
      </c>
      <c r="I31" s="1"/>
      <c r="J31" s="111"/>
      <c r="K31" s="194" t="s">
        <v>327</v>
      </c>
      <c r="L31" s="47"/>
      <c r="M31" s="117" t="s">
        <v>46</v>
      </c>
      <c r="N31" s="18"/>
      <c r="O31" s="18"/>
      <c r="P31" s="194" t="s">
        <v>327</v>
      </c>
      <c r="Q31" s="194" t="s">
        <v>327</v>
      </c>
      <c r="R31" s="14" t="s">
        <v>62</v>
      </c>
      <c r="S31" s="1"/>
      <c r="T31" s="1"/>
      <c r="U31" s="13"/>
      <c r="V31" s="4"/>
    </row>
    <row r="32" spans="1:22" ht="142.80000000000001">
      <c r="A32" s="30">
        <v>31</v>
      </c>
      <c r="B32" s="13"/>
      <c r="C32" s="13"/>
      <c r="D32" s="15">
        <v>308</v>
      </c>
      <c r="E32" s="15" t="s">
        <v>18</v>
      </c>
      <c r="F32" s="63" t="s">
        <v>160</v>
      </c>
      <c r="G32" s="1" t="s">
        <v>161</v>
      </c>
      <c r="H32" s="101" t="s">
        <v>162</v>
      </c>
      <c r="I32" s="1"/>
      <c r="J32" s="111"/>
      <c r="K32" s="194" t="s">
        <v>327</v>
      </c>
      <c r="L32" s="91" t="s">
        <v>18</v>
      </c>
      <c r="M32" s="117" t="s">
        <v>46</v>
      </c>
      <c r="N32" s="18"/>
      <c r="O32" s="18"/>
      <c r="P32" s="194" t="s">
        <v>327</v>
      </c>
      <c r="Q32" s="194" t="s">
        <v>327</v>
      </c>
      <c r="R32" s="14" t="s">
        <v>62</v>
      </c>
      <c r="S32" s="1"/>
      <c r="T32" s="1"/>
      <c r="U32" s="13"/>
      <c r="V32" s="4"/>
    </row>
    <row r="33" spans="1:22" ht="96.75" customHeight="1">
      <c r="A33" s="30">
        <v>32</v>
      </c>
      <c r="B33" s="13"/>
      <c r="C33" s="13"/>
      <c r="D33" s="15">
        <v>309</v>
      </c>
      <c r="E33" s="15" t="s">
        <v>18</v>
      </c>
      <c r="F33" s="63" t="s">
        <v>163</v>
      </c>
      <c r="G33" s="1" t="s">
        <v>164</v>
      </c>
      <c r="H33" s="101" t="s">
        <v>165</v>
      </c>
      <c r="I33" s="1" t="s">
        <v>166</v>
      </c>
      <c r="J33" s="111"/>
      <c r="K33" s="194" t="s">
        <v>136</v>
      </c>
      <c r="L33" s="90" t="s">
        <v>18</v>
      </c>
      <c r="M33" s="117" t="s">
        <v>46</v>
      </c>
      <c r="N33" s="20"/>
      <c r="O33" s="20"/>
      <c r="P33" s="194" t="s">
        <v>136</v>
      </c>
      <c r="Q33" s="194" t="s">
        <v>136</v>
      </c>
      <c r="R33" s="14" t="s">
        <v>62</v>
      </c>
      <c r="S33" s="1" t="s">
        <v>136</v>
      </c>
      <c r="T33" s="1"/>
      <c r="U33" s="13"/>
      <c r="V33" s="4"/>
    </row>
    <row r="34" spans="1:22" ht="132.6">
      <c r="A34" s="30">
        <v>33</v>
      </c>
      <c r="B34" s="13"/>
      <c r="C34" s="13"/>
      <c r="D34" s="15">
        <v>310</v>
      </c>
      <c r="E34" s="15" t="s">
        <v>18</v>
      </c>
      <c r="F34" s="63" t="s">
        <v>167</v>
      </c>
      <c r="G34" s="1" t="s">
        <v>168</v>
      </c>
      <c r="H34" s="101" t="s">
        <v>169</v>
      </c>
      <c r="I34" s="1" t="s">
        <v>170</v>
      </c>
      <c r="J34" s="111"/>
      <c r="K34" s="262" t="s">
        <v>327</v>
      </c>
      <c r="L34" s="90" t="s">
        <v>18</v>
      </c>
      <c r="M34" s="117" t="s">
        <v>46</v>
      </c>
      <c r="N34" s="19"/>
      <c r="O34" s="19"/>
      <c r="P34" s="262" t="s">
        <v>327</v>
      </c>
      <c r="Q34" s="262" t="s">
        <v>327</v>
      </c>
      <c r="R34" s="14" t="s">
        <v>62</v>
      </c>
      <c r="S34" s="1" t="s">
        <v>136</v>
      </c>
      <c r="T34" s="1"/>
      <c r="U34" s="13"/>
      <c r="V34" s="4"/>
    </row>
    <row r="35" spans="1:22" ht="71.400000000000006">
      <c r="A35" s="30">
        <v>34</v>
      </c>
      <c r="B35" s="13"/>
      <c r="C35" s="13"/>
      <c r="D35" s="15">
        <v>311</v>
      </c>
      <c r="E35" s="62" t="s">
        <v>18</v>
      </c>
      <c r="F35" s="63" t="s">
        <v>171</v>
      </c>
      <c r="G35" s="1" t="s">
        <v>172</v>
      </c>
      <c r="H35" s="101" t="s">
        <v>173</v>
      </c>
      <c r="I35" s="1" t="s">
        <v>174</v>
      </c>
      <c r="J35" s="111"/>
      <c r="K35" s="194" t="s">
        <v>327</v>
      </c>
      <c r="L35" s="90" t="s">
        <v>18</v>
      </c>
      <c r="M35" s="117" t="s">
        <v>46</v>
      </c>
      <c r="N35" s="20"/>
      <c r="O35" s="20"/>
      <c r="P35" s="194" t="s">
        <v>327</v>
      </c>
      <c r="Q35" s="194" t="s">
        <v>327</v>
      </c>
      <c r="R35" s="14" t="s">
        <v>62</v>
      </c>
      <c r="S35" s="1" t="s">
        <v>144</v>
      </c>
      <c r="T35" s="1"/>
      <c r="U35" s="13"/>
      <c r="V35" s="4"/>
    </row>
    <row r="36" spans="1:22" ht="153">
      <c r="A36" s="30">
        <v>35</v>
      </c>
      <c r="B36" s="3"/>
      <c r="C36" s="3"/>
      <c r="D36" s="15">
        <v>312</v>
      </c>
      <c r="E36" s="62" t="s">
        <v>18</v>
      </c>
      <c r="F36" s="63" t="s">
        <v>175</v>
      </c>
      <c r="G36" s="14" t="s">
        <v>176</v>
      </c>
      <c r="H36" s="101" t="s">
        <v>177</v>
      </c>
      <c r="I36" s="1" t="s">
        <v>178</v>
      </c>
      <c r="J36" s="111"/>
      <c r="K36" s="194" t="s">
        <v>327</v>
      </c>
      <c r="L36" s="91" t="s">
        <v>18</v>
      </c>
      <c r="M36" s="117" t="s">
        <v>46</v>
      </c>
      <c r="N36" s="18"/>
      <c r="O36" s="18"/>
      <c r="P36" s="194" t="s">
        <v>327</v>
      </c>
      <c r="Q36" s="194" t="s">
        <v>327</v>
      </c>
      <c r="R36" s="14" t="s">
        <v>62</v>
      </c>
      <c r="S36" s="1" t="s">
        <v>144</v>
      </c>
      <c r="T36" s="1"/>
      <c r="U36" s="13"/>
      <c r="V36" s="4"/>
    </row>
    <row r="37" spans="1:22" ht="71.400000000000006">
      <c r="A37" s="30">
        <v>36</v>
      </c>
      <c r="B37" s="13"/>
      <c r="C37" s="13"/>
      <c r="D37" s="15">
        <v>313</v>
      </c>
      <c r="E37" s="62" t="s">
        <v>18</v>
      </c>
      <c r="F37" s="63" t="s">
        <v>179</v>
      </c>
      <c r="G37" s="1" t="s">
        <v>180</v>
      </c>
      <c r="H37" s="101" t="s">
        <v>181</v>
      </c>
      <c r="I37" s="1" t="s">
        <v>182</v>
      </c>
      <c r="J37" s="111"/>
      <c r="K37" s="194" t="s">
        <v>327</v>
      </c>
      <c r="L37" s="89" t="s">
        <v>18</v>
      </c>
      <c r="M37" s="117" t="s">
        <v>46</v>
      </c>
      <c r="N37" s="22"/>
      <c r="O37" s="22"/>
      <c r="P37" s="194" t="s">
        <v>327</v>
      </c>
      <c r="Q37" s="194" t="s">
        <v>327</v>
      </c>
      <c r="R37" s="14" t="s">
        <v>62</v>
      </c>
      <c r="S37" s="1" t="s">
        <v>144</v>
      </c>
      <c r="T37" s="1"/>
      <c r="U37" s="13"/>
      <c r="V37" s="4"/>
    </row>
    <row r="38" spans="1:22" ht="71.400000000000006">
      <c r="A38" s="30">
        <v>37</v>
      </c>
      <c r="B38" s="13"/>
      <c r="C38" s="13"/>
      <c r="D38" s="15">
        <v>314</v>
      </c>
      <c r="E38" s="62" t="s">
        <v>18</v>
      </c>
      <c r="F38" s="63" t="s">
        <v>183</v>
      </c>
      <c r="G38" s="1" t="s">
        <v>184</v>
      </c>
      <c r="H38" s="101" t="s">
        <v>185</v>
      </c>
      <c r="I38" s="1" t="s">
        <v>186</v>
      </c>
      <c r="J38" s="111"/>
      <c r="K38" s="194" t="s">
        <v>327</v>
      </c>
      <c r="L38" s="89" t="s">
        <v>18</v>
      </c>
      <c r="M38" s="117" t="s">
        <v>46</v>
      </c>
      <c r="N38" s="18"/>
      <c r="O38" s="18"/>
      <c r="P38" s="194" t="s">
        <v>327</v>
      </c>
      <c r="Q38" s="194" t="s">
        <v>327</v>
      </c>
      <c r="R38" s="14" t="s">
        <v>62</v>
      </c>
      <c r="S38" s="1" t="s">
        <v>144</v>
      </c>
      <c r="T38" s="1"/>
      <c r="U38" s="13"/>
      <c r="V38" s="4"/>
    </row>
    <row r="39" spans="1:22" ht="30.6">
      <c r="A39" s="30">
        <v>38</v>
      </c>
      <c r="B39" s="13"/>
      <c r="C39" s="13"/>
      <c r="D39" s="15">
        <v>315</v>
      </c>
      <c r="E39" s="15" t="s">
        <v>187</v>
      </c>
      <c r="F39" s="63" t="s">
        <v>188</v>
      </c>
      <c r="G39" s="1" t="s">
        <v>189</v>
      </c>
      <c r="H39" s="101" t="s">
        <v>190</v>
      </c>
      <c r="I39" s="1"/>
      <c r="J39" s="111"/>
      <c r="K39" s="194" t="s">
        <v>327</v>
      </c>
      <c r="L39" s="49" t="s">
        <v>18</v>
      </c>
      <c r="M39" s="117" t="s">
        <v>46</v>
      </c>
      <c r="N39" s="22"/>
      <c r="O39" s="22"/>
      <c r="P39" s="194" t="s">
        <v>327</v>
      </c>
      <c r="Q39" s="194" t="s">
        <v>327</v>
      </c>
      <c r="R39" s="14" t="s">
        <v>62</v>
      </c>
      <c r="S39" s="1"/>
      <c r="T39" s="1"/>
      <c r="U39" s="13"/>
      <c r="V39" s="4"/>
    </row>
    <row r="40" spans="1:22" ht="102">
      <c r="A40" s="30">
        <v>39</v>
      </c>
      <c r="B40" s="13"/>
      <c r="C40" s="13"/>
      <c r="D40" s="15">
        <v>324</v>
      </c>
      <c r="E40" s="15" t="s">
        <v>18</v>
      </c>
      <c r="F40" s="63" t="s">
        <v>191</v>
      </c>
      <c r="G40" s="1" t="s">
        <v>192</v>
      </c>
      <c r="H40" s="101" t="s">
        <v>193</v>
      </c>
      <c r="I40" s="1" t="s">
        <v>135</v>
      </c>
      <c r="J40" s="119" t="s">
        <v>194</v>
      </c>
      <c r="K40" s="194" t="s">
        <v>327</v>
      </c>
      <c r="L40" s="91" t="s">
        <v>18</v>
      </c>
      <c r="M40" s="117" t="s">
        <v>46</v>
      </c>
      <c r="N40" s="18"/>
      <c r="O40" s="18"/>
      <c r="P40" s="194" t="s">
        <v>327</v>
      </c>
      <c r="Q40" s="194" t="s">
        <v>327</v>
      </c>
      <c r="R40" s="14" t="s">
        <v>62</v>
      </c>
      <c r="S40" s="1" t="s">
        <v>136</v>
      </c>
      <c r="T40" s="1"/>
      <c r="U40" s="13"/>
      <c r="V40" s="4"/>
    </row>
    <row r="41" spans="1:22" ht="112.2">
      <c r="A41" s="30">
        <v>40</v>
      </c>
      <c r="B41" s="13"/>
      <c r="C41" s="13"/>
      <c r="D41" s="15">
        <v>325</v>
      </c>
      <c r="E41" s="15" t="s">
        <v>18</v>
      </c>
      <c r="F41" s="63" t="s">
        <v>195</v>
      </c>
      <c r="G41" s="1" t="s">
        <v>196</v>
      </c>
      <c r="H41" s="101" t="s">
        <v>197</v>
      </c>
      <c r="I41" s="1" t="s">
        <v>135</v>
      </c>
      <c r="J41" s="111"/>
      <c r="K41" s="194" t="s">
        <v>136</v>
      </c>
      <c r="L41" s="91" t="s">
        <v>18</v>
      </c>
      <c r="M41" s="117" t="s">
        <v>46</v>
      </c>
      <c r="N41" s="22"/>
      <c r="O41" s="22"/>
      <c r="P41" s="194" t="s">
        <v>136</v>
      </c>
      <c r="Q41" s="194" t="s">
        <v>136</v>
      </c>
      <c r="R41" s="14" t="s">
        <v>62</v>
      </c>
      <c r="S41" s="1" t="s">
        <v>136</v>
      </c>
      <c r="T41" s="1"/>
      <c r="U41" s="13"/>
      <c r="V41" s="4"/>
    </row>
    <row r="42" spans="1:22" ht="36">
      <c r="A42" s="30">
        <v>41</v>
      </c>
      <c r="B42" s="3"/>
      <c r="C42" s="3"/>
      <c r="D42" s="15">
        <v>326</v>
      </c>
      <c r="E42" s="15" t="s">
        <v>18</v>
      </c>
      <c r="F42" s="63" t="s">
        <v>198</v>
      </c>
      <c r="G42" s="14" t="s">
        <v>199</v>
      </c>
      <c r="H42" s="101" t="s">
        <v>200</v>
      </c>
      <c r="I42" s="1"/>
      <c r="J42" s="111"/>
      <c r="K42" s="194" t="s">
        <v>327</v>
      </c>
      <c r="L42" s="47"/>
      <c r="M42" s="117" t="s">
        <v>46</v>
      </c>
      <c r="N42" s="18"/>
      <c r="O42" s="18"/>
      <c r="P42" s="194" t="s">
        <v>327</v>
      </c>
      <c r="Q42" s="194" t="s">
        <v>327</v>
      </c>
      <c r="R42" s="14" t="s">
        <v>62</v>
      </c>
      <c r="S42" s="1"/>
      <c r="T42" s="1"/>
      <c r="U42" s="13"/>
      <c r="V42" s="4"/>
    </row>
    <row r="43" spans="1:22" ht="68.400000000000006">
      <c r="A43" s="30">
        <v>42</v>
      </c>
      <c r="B43" s="3"/>
      <c r="C43" s="3"/>
      <c r="D43" s="15">
        <v>327</v>
      </c>
      <c r="E43" s="15" t="s">
        <v>18</v>
      </c>
      <c r="F43" s="63" t="s">
        <v>201</v>
      </c>
      <c r="G43" s="14" t="s">
        <v>202</v>
      </c>
      <c r="H43" s="101" t="s">
        <v>203</v>
      </c>
      <c r="I43" s="164" t="s">
        <v>204</v>
      </c>
      <c r="J43" s="111"/>
      <c r="K43" s="193" t="s">
        <v>327</v>
      </c>
      <c r="L43" s="47"/>
      <c r="M43" s="117" t="s">
        <v>46</v>
      </c>
      <c r="N43" s="23"/>
      <c r="O43" s="23"/>
      <c r="P43" s="193" t="s">
        <v>327</v>
      </c>
      <c r="Q43" s="193" t="s">
        <v>327</v>
      </c>
      <c r="R43" s="14" t="s">
        <v>62</v>
      </c>
      <c r="S43" s="164" t="s">
        <v>205</v>
      </c>
      <c r="T43" s="179" t="s">
        <v>206</v>
      </c>
      <c r="U43" s="1" t="s">
        <v>7</v>
      </c>
      <c r="V43" s="4"/>
    </row>
    <row r="44" spans="1:22">
      <c r="A44" s="30">
        <v>43</v>
      </c>
      <c r="B44" s="3"/>
      <c r="C44" s="3"/>
      <c r="D44" s="15">
        <v>328</v>
      </c>
      <c r="E44" s="15" t="s">
        <v>18</v>
      </c>
      <c r="F44" s="63" t="s">
        <v>7</v>
      </c>
      <c r="G44" s="14" t="s">
        <v>207</v>
      </c>
      <c r="H44" s="120"/>
      <c r="I44" s="1"/>
      <c r="J44" s="111"/>
      <c r="K44" s="194" t="s">
        <v>327</v>
      </c>
      <c r="L44" s="47"/>
      <c r="M44" s="117" t="s">
        <v>46</v>
      </c>
      <c r="N44" s="18"/>
      <c r="O44" s="18"/>
      <c r="P44" s="194" t="s">
        <v>327</v>
      </c>
      <c r="Q44" s="194" t="s">
        <v>327</v>
      </c>
      <c r="R44" s="14" t="s">
        <v>62</v>
      </c>
      <c r="S44" s="1"/>
      <c r="T44" s="1"/>
      <c r="U44" s="13"/>
      <c r="V44" s="4"/>
    </row>
    <row r="45" spans="1:22" ht="112.2">
      <c r="A45" s="30">
        <v>44</v>
      </c>
      <c r="B45" s="3"/>
      <c r="C45" s="3"/>
      <c r="D45" s="15">
        <v>329</v>
      </c>
      <c r="E45" s="15" t="s">
        <v>18</v>
      </c>
      <c r="F45" s="63" t="s">
        <v>208</v>
      </c>
      <c r="G45" s="14" t="s">
        <v>209</v>
      </c>
      <c r="H45" s="120" t="s">
        <v>210</v>
      </c>
      <c r="I45" s="1"/>
      <c r="J45" s="111"/>
      <c r="K45" s="194" t="s">
        <v>327</v>
      </c>
      <c r="L45" s="47"/>
      <c r="M45" s="117" t="s">
        <v>46</v>
      </c>
      <c r="N45" s="18"/>
      <c r="O45" s="18"/>
      <c r="P45" s="194" t="s">
        <v>327</v>
      </c>
      <c r="Q45" s="194" t="s">
        <v>327</v>
      </c>
      <c r="R45" s="14" t="s">
        <v>62</v>
      </c>
      <c r="S45" s="1"/>
      <c r="T45" s="1"/>
      <c r="U45" s="13"/>
      <c r="V45" s="4"/>
    </row>
    <row r="46" spans="1:22" ht="30.6">
      <c r="A46" s="30">
        <v>45</v>
      </c>
      <c r="B46" s="13"/>
      <c r="C46" s="13"/>
      <c r="D46" s="15">
        <v>330</v>
      </c>
      <c r="E46" s="15" t="s">
        <v>18</v>
      </c>
      <c r="F46" s="63" t="s">
        <v>211</v>
      </c>
      <c r="G46" s="1" t="s">
        <v>212</v>
      </c>
      <c r="H46" s="120" t="s">
        <v>213</v>
      </c>
      <c r="I46" s="1"/>
      <c r="J46" s="111"/>
      <c r="K46" s="194" t="s">
        <v>327</v>
      </c>
      <c r="L46" s="49" t="s">
        <v>18</v>
      </c>
      <c r="M46" s="117" t="s">
        <v>46</v>
      </c>
      <c r="N46" s="18"/>
      <c r="O46" s="18"/>
      <c r="P46" s="194" t="s">
        <v>327</v>
      </c>
      <c r="Q46" s="194" t="s">
        <v>327</v>
      </c>
      <c r="R46" s="14" t="s">
        <v>62</v>
      </c>
      <c r="S46" s="14" t="s">
        <v>214</v>
      </c>
      <c r="T46" s="1"/>
      <c r="U46" s="13"/>
      <c r="V46" s="4"/>
    </row>
    <row r="47" spans="1:22" ht="45.6">
      <c r="A47" s="30">
        <v>46</v>
      </c>
      <c r="B47" s="13"/>
      <c r="C47" s="13"/>
      <c r="D47" s="15">
        <v>331</v>
      </c>
      <c r="E47" s="15" t="s">
        <v>18</v>
      </c>
      <c r="F47" s="63" t="s">
        <v>215</v>
      </c>
      <c r="G47" s="1" t="s">
        <v>216</v>
      </c>
      <c r="H47" s="120" t="s">
        <v>217</v>
      </c>
      <c r="I47" s="164" t="s">
        <v>218</v>
      </c>
      <c r="J47" s="111"/>
      <c r="K47" s="194" t="s">
        <v>327</v>
      </c>
      <c r="L47" s="47"/>
      <c r="M47" s="117" t="s">
        <v>46</v>
      </c>
      <c r="N47" s="22"/>
      <c r="O47" s="22"/>
      <c r="P47" s="194" t="s">
        <v>327</v>
      </c>
      <c r="Q47" s="194" t="s">
        <v>327</v>
      </c>
      <c r="R47" s="14" t="s">
        <v>62</v>
      </c>
      <c r="S47" s="180" t="s">
        <v>219</v>
      </c>
      <c r="T47" s="1"/>
      <c r="U47" s="13"/>
      <c r="V47" s="4"/>
    </row>
    <row r="48" spans="1:22">
      <c r="A48" s="30">
        <v>47</v>
      </c>
      <c r="B48" s="3"/>
      <c r="C48" s="3"/>
      <c r="D48" s="15">
        <v>332</v>
      </c>
      <c r="E48" s="15" t="s">
        <v>220</v>
      </c>
      <c r="F48" s="63" t="s">
        <v>7</v>
      </c>
      <c r="G48" s="14" t="s">
        <v>221</v>
      </c>
      <c r="H48" s="120" t="s">
        <v>222</v>
      </c>
      <c r="I48" s="1"/>
      <c r="J48" s="111"/>
      <c r="K48" s="194" t="s">
        <v>327</v>
      </c>
      <c r="L48" s="47"/>
      <c r="M48" s="117" t="s">
        <v>46</v>
      </c>
      <c r="N48" s="18"/>
      <c r="O48" s="18"/>
      <c r="P48" s="194" t="s">
        <v>327</v>
      </c>
      <c r="Q48" s="194" t="s">
        <v>327</v>
      </c>
      <c r="R48" s="14" t="s">
        <v>62</v>
      </c>
      <c r="S48" s="1"/>
      <c r="T48" s="1"/>
      <c r="U48" s="13"/>
      <c r="V48" s="4"/>
    </row>
    <row r="49" spans="1:22">
      <c r="A49" s="30">
        <v>48</v>
      </c>
      <c r="B49" s="13"/>
      <c r="C49" s="13"/>
      <c r="D49" s="15">
        <v>335</v>
      </c>
      <c r="E49" s="15" t="s">
        <v>48</v>
      </c>
      <c r="F49" s="63" t="s">
        <v>7</v>
      </c>
      <c r="G49" s="1" t="s">
        <v>223</v>
      </c>
      <c r="H49" s="120" t="s">
        <v>224</v>
      </c>
      <c r="I49" s="1"/>
      <c r="J49" s="111"/>
      <c r="K49" s="194" t="s">
        <v>327</v>
      </c>
      <c r="L49" s="49" t="s">
        <v>18</v>
      </c>
      <c r="M49" s="117" t="s">
        <v>46</v>
      </c>
      <c r="N49" s="18"/>
      <c r="O49" s="18"/>
      <c r="P49" s="194" t="s">
        <v>327</v>
      </c>
      <c r="Q49" s="194" t="s">
        <v>327</v>
      </c>
      <c r="R49" s="14" t="s">
        <v>62</v>
      </c>
      <c r="S49" s="1"/>
      <c r="T49" s="1"/>
      <c r="U49" s="13"/>
      <c r="V49" s="4"/>
    </row>
    <row r="50" spans="1:22" ht="40.799999999999997">
      <c r="A50" s="30">
        <v>49</v>
      </c>
      <c r="B50" s="13"/>
      <c r="C50" s="13"/>
      <c r="D50" s="15">
        <v>343</v>
      </c>
      <c r="E50" s="15" t="s">
        <v>225</v>
      </c>
      <c r="F50" s="63" t="s">
        <v>226</v>
      </c>
      <c r="G50" s="1" t="s">
        <v>227</v>
      </c>
      <c r="H50" s="120" t="s">
        <v>228</v>
      </c>
      <c r="I50" s="1"/>
      <c r="J50" s="111" t="s">
        <v>229</v>
      </c>
      <c r="K50" s="194" t="s">
        <v>231</v>
      </c>
      <c r="L50" s="50"/>
      <c r="M50" s="117" t="s">
        <v>230</v>
      </c>
      <c r="N50" s="18"/>
      <c r="O50" s="18"/>
      <c r="P50" s="194" t="s">
        <v>231</v>
      </c>
      <c r="Q50" s="194" t="s">
        <v>231</v>
      </c>
      <c r="R50" s="101" t="s">
        <v>231</v>
      </c>
      <c r="S50" s="101" t="s">
        <v>7</v>
      </c>
      <c r="T50" s="1"/>
      <c r="U50" s="13"/>
      <c r="V50" s="4"/>
    </row>
    <row r="51" spans="1:22" ht="40.799999999999997">
      <c r="A51" s="30">
        <v>50</v>
      </c>
      <c r="B51" s="13"/>
      <c r="C51" s="13"/>
      <c r="D51" s="15">
        <v>346</v>
      </c>
      <c r="E51" s="15" t="s">
        <v>232</v>
      </c>
      <c r="F51" s="63" t="s">
        <v>233</v>
      </c>
      <c r="G51" s="1" t="s">
        <v>234</v>
      </c>
      <c r="H51" s="120" t="s">
        <v>235</v>
      </c>
      <c r="I51" s="1"/>
      <c r="J51" s="111" t="s">
        <v>236</v>
      </c>
      <c r="K51" s="194" t="s">
        <v>231</v>
      </c>
      <c r="L51" s="51"/>
      <c r="M51" s="117" t="s">
        <v>230</v>
      </c>
      <c r="N51" s="22"/>
      <c r="O51" s="22"/>
      <c r="P51" s="194" t="s">
        <v>231</v>
      </c>
      <c r="Q51" s="194" t="s">
        <v>231</v>
      </c>
      <c r="R51" s="101" t="s">
        <v>231</v>
      </c>
      <c r="S51" s="101" t="s">
        <v>7</v>
      </c>
      <c r="T51" s="1"/>
      <c r="U51" s="13"/>
      <c r="V51" s="4"/>
    </row>
    <row r="52" spans="1:22" ht="30.6">
      <c r="A52" s="30">
        <v>51</v>
      </c>
      <c r="B52" s="13"/>
      <c r="C52" s="13"/>
      <c r="D52" s="15">
        <v>350</v>
      </c>
      <c r="E52" s="15" t="s">
        <v>48</v>
      </c>
      <c r="F52" s="63" t="s">
        <v>21</v>
      </c>
      <c r="G52" s="1" t="s">
        <v>237</v>
      </c>
      <c r="H52" s="120" t="s">
        <v>238</v>
      </c>
      <c r="I52" s="1"/>
      <c r="J52" s="111" t="s">
        <v>239</v>
      </c>
      <c r="K52" s="194" t="s">
        <v>231</v>
      </c>
      <c r="L52" s="49" t="s">
        <v>18</v>
      </c>
      <c r="M52" s="117" t="s">
        <v>230</v>
      </c>
      <c r="N52" s="22"/>
      <c r="O52" s="22"/>
      <c r="P52" s="194" t="s">
        <v>231</v>
      </c>
      <c r="Q52" s="194" t="s">
        <v>231</v>
      </c>
      <c r="R52" s="101" t="s">
        <v>231</v>
      </c>
      <c r="S52" s="101" t="s">
        <v>7</v>
      </c>
      <c r="T52" s="1"/>
      <c r="U52" s="13"/>
      <c r="V52" s="4"/>
    </row>
    <row r="53" spans="1:22" ht="20.399999999999999">
      <c r="A53" s="30">
        <v>52</v>
      </c>
      <c r="B53" s="13"/>
      <c r="C53" s="13"/>
      <c r="D53" s="15">
        <v>358</v>
      </c>
      <c r="E53" s="15" t="s">
        <v>48</v>
      </c>
      <c r="F53" s="63" t="s">
        <v>7</v>
      </c>
      <c r="G53" s="1" t="s">
        <v>240</v>
      </c>
      <c r="H53" s="120" t="s">
        <v>241</v>
      </c>
      <c r="J53" s="111" t="s">
        <v>239</v>
      </c>
      <c r="K53" s="194" t="s">
        <v>231</v>
      </c>
      <c r="L53" s="47"/>
      <c r="M53" s="117" t="s">
        <v>230</v>
      </c>
      <c r="N53" s="22"/>
      <c r="O53" s="22"/>
      <c r="P53" s="194" t="s">
        <v>231</v>
      </c>
      <c r="Q53" s="194" t="s">
        <v>231</v>
      </c>
      <c r="R53" s="101" t="s">
        <v>231</v>
      </c>
      <c r="S53" s="1" t="s">
        <v>7</v>
      </c>
      <c r="T53" s="1"/>
      <c r="U53" s="13"/>
      <c r="V53" s="4"/>
    </row>
    <row r="54" spans="1:22" ht="68.400000000000006">
      <c r="A54" s="30">
        <v>53</v>
      </c>
      <c r="B54" s="3"/>
      <c r="C54" s="3"/>
      <c r="D54" s="15">
        <v>366</v>
      </c>
      <c r="E54" s="62" t="s">
        <v>242</v>
      </c>
      <c r="F54" s="63" t="s">
        <v>7</v>
      </c>
      <c r="G54" s="14" t="s">
        <v>243</v>
      </c>
      <c r="H54" s="101" t="s">
        <v>244</v>
      </c>
      <c r="I54" s="164" t="s">
        <v>245</v>
      </c>
      <c r="K54" s="194" t="s">
        <v>327</v>
      </c>
      <c r="L54" s="47"/>
      <c r="M54" s="117" t="s">
        <v>46</v>
      </c>
      <c r="N54" s="18"/>
      <c r="O54" s="18"/>
      <c r="P54" s="194" t="s">
        <v>327</v>
      </c>
      <c r="Q54" s="194" t="s">
        <v>327</v>
      </c>
      <c r="R54" s="14" t="s">
        <v>62</v>
      </c>
      <c r="S54" s="164" t="s">
        <v>246</v>
      </c>
      <c r="T54" s="1"/>
      <c r="U54" s="13"/>
      <c r="V54" s="4"/>
    </row>
    <row r="55" spans="1:22" ht="122.4">
      <c r="A55" s="30">
        <v>54</v>
      </c>
      <c r="B55" s="3"/>
      <c r="C55" s="3"/>
      <c r="D55" s="15">
        <v>445</v>
      </c>
      <c r="E55" s="15" t="s">
        <v>242</v>
      </c>
      <c r="F55" s="63"/>
      <c r="G55" s="14" t="s">
        <v>247</v>
      </c>
      <c r="H55" s="101" t="s">
        <v>244</v>
      </c>
      <c r="I55" s="164" t="s">
        <v>248</v>
      </c>
      <c r="J55" s="111"/>
      <c r="K55" s="194" t="s">
        <v>327</v>
      </c>
      <c r="L55" s="47"/>
      <c r="M55" s="117" t="s">
        <v>46</v>
      </c>
      <c r="N55" s="18"/>
      <c r="O55" s="18"/>
      <c r="P55" s="194" t="s">
        <v>327</v>
      </c>
      <c r="Q55" s="194" t="s">
        <v>327</v>
      </c>
      <c r="R55" s="14" t="s">
        <v>62</v>
      </c>
      <c r="S55" s="170" t="s">
        <v>249</v>
      </c>
      <c r="T55" s="1"/>
      <c r="U55" s="13"/>
      <c r="V55" s="4"/>
    </row>
    <row r="56" spans="1:22" ht="20.399999999999999">
      <c r="A56" s="30">
        <v>55</v>
      </c>
      <c r="B56" s="3"/>
      <c r="C56" s="3"/>
      <c r="D56" s="15">
        <v>524</v>
      </c>
      <c r="E56" s="62" t="s">
        <v>242</v>
      </c>
      <c r="F56" s="63"/>
      <c r="G56" s="14" t="s">
        <v>250</v>
      </c>
      <c r="H56" s="101" t="s">
        <v>244</v>
      </c>
      <c r="I56" s="1"/>
      <c r="J56" s="111"/>
      <c r="K56" s="194" t="s">
        <v>327</v>
      </c>
      <c r="L56" s="47"/>
      <c r="M56" s="117" t="s">
        <v>46</v>
      </c>
      <c r="N56" s="18"/>
      <c r="O56" s="18"/>
      <c r="P56" s="194" t="s">
        <v>327</v>
      </c>
      <c r="Q56" s="194" t="s">
        <v>327</v>
      </c>
      <c r="R56" s="14" t="s">
        <v>62</v>
      </c>
      <c r="S56" s="1"/>
      <c r="T56" s="1"/>
      <c r="U56" s="13"/>
      <c r="V56" s="4"/>
    </row>
    <row r="57" spans="1:22" ht="20.399999999999999">
      <c r="A57" s="30">
        <v>56</v>
      </c>
      <c r="B57" s="3"/>
      <c r="C57" s="3"/>
      <c r="D57" s="15">
        <v>603</v>
      </c>
      <c r="E57" s="15" t="s">
        <v>242</v>
      </c>
      <c r="F57" s="63" t="s">
        <v>7</v>
      </c>
      <c r="G57" s="14" t="s">
        <v>251</v>
      </c>
      <c r="H57" s="101" t="s">
        <v>244</v>
      </c>
      <c r="I57" s="1"/>
      <c r="J57" s="111"/>
      <c r="K57" s="194" t="s">
        <v>327</v>
      </c>
      <c r="L57" s="47"/>
      <c r="M57" s="117" t="s">
        <v>46</v>
      </c>
      <c r="N57" s="18"/>
      <c r="O57" s="18"/>
      <c r="P57" s="194" t="s">
        <v>327</v>
      </c>
      <c r="Q57" s="194" t="s">
        <v>327</v>
      </c>
      <c r="R57" s="14" t="s">
        <v>62</v>
      </c>
      <c r="S57" s="1"/>
      <c r="T57" s="1"/>
      <c r="U57" s="13"/>
      <c r="V57" s="4"/>
    </row>
    <row r="58" spans="1:22" ht="20.399999999999999">
      <c r="A58" s="30">
        <v>57</v>
      </c>
      <c r="B58" s="3"/>
      <c r="C58" s="3"/>
      <c r="D58" s="15">
        <v>682</v>
      </c>
      <c r="E58" s="15" t="s">
        <v>242</v>
      </c>
      <c r="F58" s="63" t="s">
        <v>7</v>
      </c>
      <c r="G58" s="14" t="s">
        <v>252</v>
      </c>
      <c r="H58" s="101" t="s">
        <v>244</v>
      </c>
      <c r="I58" s="1"/>
      <c r="J58" s="111"/>
      <c r="K58" s="194" t="s">
        <v>327</v>
      </c>
      <c r="L58" s="47"/>
      <c r="M58" s="117" t="s">
        <v>46</v>
      </c>
      <c r="N58" s="18"/>
      <c r="O58" s="18"/>
      <c r="P58" s="194" t="s">
        <v>327</v>
      </c>
      <c r="Q58" s="194" t="s">
        <v>327</v>
      </c>
      <c r="R58" s="14" t="s">
        <v>62</v>
      </c>
      <c r="S58" s="1"/>
      <c r="T58" s="1"/>
      <c r="U58" s="13"/>
      <c r="V58" s="4"/>
    </row>
    <row r="59" spans="1:22" ht="20.399999999999999">
      <c r="A59" s="30">
        <v>58</v>
      </c>
      <c r="B59" s="3"/>
      <c r="C59" s="3"/>
      <c r="D59" s="15">
        <v>761</v>
      </c>
      <c r="E59" s="15" t="s">
        <v>242</v>
      </c>
      <c r="F59" s="63" t="s">
        <v>7</v>
      </c>
      <c r="G59" s="14" t="s">
        <v>253</v>
      </c>
      <c r="H59" s="101" t="s">
        <v>244</v>
      </c>
      <c r="I59" s="1"/>
      <c r="J59" s="111"/>
      <c r="K59" s="194" t="s">
        <v>327</v>
      </c>
      <c r="L59" s="47"/>
      <c r="M59" s="117" t="s">
        <v>46</v>
      </c>
      <c r="N59" s="18"/>
      <c r="O59" s="18"/>
      <c r="P59" s="194" t="s">
        <v>327</v>
      </c>
      <c r="Q59" s="194" t="s">
        <v>327</v>
      </c>
      <c r="R59" s="14" t="s">
        <v>62</v>
      </c>
      <c r="S59" s="1"/>
      <c r="T59" s="1"/>
      <c r="U59" s="13"/>
      <c r="V59" s="4"/>
    </row>
    <row r="60" spans="1:22" ht="193.8">
      <c r="A60" s="30">
        <v>59</v>
      </c>
      <c r="B60" s="3"/>
      <c r="C60" s="3"/>
      <c r="D60" s="15">
        <v>840</v>
      </c>
      <c r="E60" s="15" t="s">
        <v>18</v>
      </c>
      <c r="F60" s="63" t="s">
        <v>254</v>
      </c>
      <c r="G60" s="14" t="s">
        <v>255</v>
      </c>
      <c r="H60" s="120" t="s">
        <v>256</v>
      </c>
      <c r="I60" s="1"/>
      <c r="J60" s="111"/>
      <c r="K60" s="194" t="s">
        <v>327</v>
      </c>
      <c r="L60" s="47"/>
      <c r="M60" s="117" t="s">
        <v>46</v>
      </c>
      <c r="N60" s="18"/>
      <c r="O60" s="18"/>
      <c r="P60" s="194" t="s">
        <v>327</v>
      </c>
      <c r="Q60" s="194" t="s">
        <v>327</v>
      </c>
      <c r="R60" s="14" t="s">
        <v>62</v>
      </c>
      <c r="S60" s="1"/>
      <c r="T60" s="1"/>
      <c r="U60" s="13"/>
      <c r="V60" s="4"/>
    </row>
    <row r="61" spans="1:22" ht="30.6">
      <c r="A61" s="30">
        <v>60</v>
      </c>
      <c r="B61" s="13" t="s">
        <v>7</v>
      </c>
      <c r="C61" s="13"/>
      <c r="D61" s="15">
        <v>841</v>
      </c>
      <c r="E61" s="15" t="s">
        <v>257</v>
      </c>
      <c r="F61" s="63" t="s">
        <v>258</v>
      </c>
      <c r="G61" s="1" t="s">
        <v>259</v>
      </c>
      <c r="H61" s="120" t="s">
        <v>260</v>
      </c>
      <c r="I61" s="1"/>
      <c r="J61" s="111"/>
      <c r="K61" s="194" t="s">
        <v>327</v>
      </c>
      <c r="L61" s="48"/>
      <c r="M61" s="117" t="s">
        <v>46</v>
      </c>
      <c r="N61" s="22"/>
      <c r="O61" s="22"/>
      <c r="P61" s="194" t="s">
        <v>327</v>
      </c>
      <c r="Q61" s="194" t="s">
        <v>327</v>
      </c>
      <c r="R61" s="14" t="s">
        <v>62</v>
      </c>
      <c r="S61" s="1"/>
      <c r="T61" s="1"/>
      <c r="U61" s="13"/>
      <c r="V61" s="4"/>
    </row>
    <row r="62" spans="1:22" ht="122.4">
      <c r="A62" s="30">
        <v>61</v>
      </c>
      <c r="B62" s="3"/>
      <c r="C62" s="3"/>
      <c r="D62" s="15">
        <v>901</v>
      </c>
      <c r="E62" s="15" t="s">
        <v>18</v>
      </c>
      <c r="F62" s="63" t="s">
        <v>175</v>
      </c>
      <c r="G62" s="14" t="s">
        <v>261</v>
      </c>
      <c r="H62" s="120" t="s">
        <v>262</v>
      </c>
      <c r="I62" s="1"/>
      <c r="J62" s="111"/>
      <c r="K62" s="194" t="s">
        <v>327</v>
      </c>
      <c r="L62" s="47"/>
      <c r="M62" s="117" t="s">
        <v>46</v>
      </c>
      <c r="N62" s="18"/>
      <c r="O62" s="18"/>
      <c r="P62" s="194" t="s">
        <v>327</v>
      </c>
      <c r="Q62" s="194" t="s">
        <v>327</v>
      </c>
      <c r="R62" s="14" t="s">
        <v>62</v>
      </c>
      <c r="S62" s="1"/>
      <c r="T62" s="1"/>
      <c r="U62" s="13"/>
      <c r="V62" s="4"/>
    </row>
    <row r="63" spans="1:22" ht="81.599999999999994">
      <c r="A63" s="30">
        <v>62</v>
      </c>
      <c r="B63" s="13"/>
      <c r="C63" s="13"/>
      <c r="D63" s="15">
        <v>902</v>
      </c>
      <c r="E63" s="15" t="s">
        <v>48</v>
      </c>
      <c r="F63" s="63" t="s">
        <v>263</v>
      </c>
      <c r="G63" s="1" t="s">
        <v>264</v>
      </c>
      <c r="H63" s="101" t="s">
        <v>265</v>
      </c>
      <c r="I63" s="1"/>
      <c r="J63" s="111"/>
      <c r="K63" s="194" t="s">
        <v>327</v>
      </c>
      <c r="L63" s="47"/>
      <c r="M63" s="117" t="s">
        <v>46</v>
      </c>
      <c r="N63" s="22"/>
      <c r="O63" s="22"/>
      <c r="P63" s="194" t="s">
        <v>327</v>
      </c>
      <c r="Q63" s="194" t="s">
        <v>327</v>
      </c>
      <c r="R63" s="14" t="s">
        <v>62</v>
      </c>
      <c r="S63" s="1"/>
      <c r="T63" s="1"/>
      <c r="U63" s="13"/>
      <c r="V63" s="4"/>
    </row>
    <row r="64" spans="1:22" ht="81.599999999999994">
      <c r="A64" s="30">
        <v>63</v>
      </c>
      <c r="B64" s="13"/>
      <c r="C64" s="13"/>
      <c r="D64" s="15">
        <v>910</v>
      </c>
      <c r="E64" s="15" t="s">
        <v>48</v>
      </c>
      <c r="F64" s="63" t="s">
        <v>266</v>
      </c>
      <c r="G64" s="1" t="s">
        <v>267</v>
      </c>
      <c r="H64" s="120" t="s">
        <v>268</v>
      </c>
      <c r="I64" s="1"/>
      <c r="J64" s="111"/>
      <c r="K64" s="194" t="s">
        <v>327</v>
      </c>
      <c r="L64" s="47"/>
      <c r="M64" s="117" t="s">
        <v>46</v>
      </c>
      <c r="N64" s="22"/>
      <c r="O64" s="22"/>
      <c r="P64" s="194" t="s">
        <v>327</v>
      </c>
      <c r="Q64" s="194" t="s">
        <v>327</v>
      </c>
      <c r="R64" s="14" t="s">
        <v>62</v>
      </c>
      <c r="S64" s="1"/>
      <c r="T64" s="1"/>
      <c r="U64" s="13"/>
      <c r="V64" s="4"/>
    </row>
    <row r="65" spans="1:22" ht="24">
      <c r="A65" s="30">
        <v>64</v>
      </c>
      <c r="B65" s="3"/>
      <c r="C65" s="3"/>
      <c r="D65" s="15">
        <v>918</v>
      </c>
      <c r="E65" s="15" t="s">
        <v>257</v>
      </c>
      <c r="F65" s="63" t="s">
        <v>269</v>
      </c>
      <c r="G65" s="14" t="s">
        <v>270</v>
      </c>
      <c r="H65" s="101" t="s">
        <v>271</v>
      </c>
      <c r="I65" s="1"/>
      <c r="J65" s="111"/>
      <c r="K65" s="194" t="s">
        <v>327</v>
      </c>
      <c r="L65" s="47"/>
      <c r="M65" s="117" t="s">
        <v>46</v>
      </c>
      <c r="N65" s="18"/>
      <c r="O65" s="18"/>
      <c r="P65" s="194" t="s">
        <v>327</v>
      </c>
      <c r="Q65" s="194" t="s">
        <v>327</v>
      </c>
      <c r="R65" s="14" t="s">
        <v>62</v>
      </c>
      <c r="S65" s="1"/>
      <c r="T65" s="1"/>
      <c r="U65" s="13"/>
      <c r="V65" s="4"/>
    </row>
    <row r="66" spans="1:22" ht="61.2">
      <c r="A66" s="30">
        <v>65</v>
      </c>
      <c r="B66" s="3"/>
      <c r="C66" s="3"/>
      <c r="D66" s="15">
        <v>978</v>
      </c>
      <c r="E66" s="15" t="s">
        <v>18</v>
      </c>
      <c r="F66" s="63" t="s">
        <v>272</v>
      </c>
      <c r="G66" s="14" t="s">
        <v>273</v>
      </c>
      <c r="H66" s="120" t="s">
        <v>274</v>
      </c>
      <c r="I66" s="1" t="s">
        <v>275</v>
      </c>
      <c r="J66" s="111"/>
      <c r="K66" s="194" t="s">
        <v>327</v>
      </c>
      <c r="L66" s="91" t="s">
        <v>18</v>
      </c>
      <c r="M66" s="117" t="s">
        <v>46</v>
      </c>
      <c r="N66" s="18"/>
      <c r="O66" s="18"/>
      <c r="P66" s="194" t="s">
        <v>327</v>
      </c>
      <c r="Q66" s="194" t="s">
        <v>327</v>
      </c>
      <c r="R66" s="14" t="s">
        <v>62</v>
      </c>
      <c r="S66" s="1" t="s">
        <v>144</v>
      </c>
      <c r="T66" s="1" t="s">
        <v>7</v>
      </c>
      <c r="U66" s="1" t="s">
        <v>7</v>
      </c>
      <c r="V66" s="4"/>
    </row>
    <row r="67" spans="1:22" ht="156.75" customHeight="1">
      <c r="A67" s="30">
        <v>66</v>
      </c>
      <c r="B67" s="3"/>
      <c r="C67" s="3"/>
      <c r="D67" s="15">
        <v>979</v>
      </c>
      <c r="E67" s="15" t="s">
        <v>18</v>
      </c>
      <c r="F67" s="63" t="s">
        <v>276</v>
      </c>
      <c r="G67" s="14" t="s">
        <v>277</v>
      </c>
      <c r="H67" s="101" t="s">
        <v>278</v>
      </c>
      <c r="I67" s="1"/>
      <c r="J67" s="111" t="s">
        <v>279</v>
      </c>
      <c r="K67" s="194" t="s">
        <v>327</v>
      </c>
      <c r="L67" s="91" t="s">
        <v>18</v>
      </c>
      <c r="M67" s="117" t="s">
        <v>46</v>
      </c>
      <c r="N67" s="18"/>
      <c r="O67" s="18"/>
      <c r="P67" s="194" t="s">
        <v>327</v>
      </c>
      <c r="Q67" s="194" t="s">
        <v>327</v>
      </c>
      <c r="R67" s="14" t="s">
        <v>62</v>
      </c>
      <c r="S67" s="1" t="s">
        <v>136</v>
      </c>
      <c r="T67" s="1"/>
      <c r="U67" s="13"/>
      <c r="V67" s="4"/>
    </row>
    <row r="68" spans="1:22" ht="22.8">
      <c r="A68" s="30">
        <v>67</v>
      </c>
      <c r="B68" s="3"/>
      <c r="C68" s="3"/>
      <c r="D68" s="15">
        <v>980</v>
      </c>
      <c r="E68" s="15" t="s">
        <v>18</v>
      </c>
      <c r="F68" s="63" t="s">
        <v>7</v>
      </c>
      <c r="G68" s="14" t="s">
        <v>280</v>
      </c>
      <c r="H68" s="121" t="s">
        <v>281</v>
      </c>
      <c r="I68" s="1"/>
      <c r="J68" s="111"/>
      <c r="K68" s="194" t="s">
        <v>327</v>
      </c>
      <c r="L68" s="47"/>
      <c r="M68" s="117" t="s">
        <v>46</v>
      </c>
      <c r="N68" s="18"/>
      <c r="O68" s="18"/>
      <c r="P68" s="194" t="s">
        <v>327</v>
      </c>
      <c r="Q68" s="194" t="s">
        <v>327</v>
      </c>
      <c r="R68" s="14" t="s">
        <v>62</v>
      </c>
      <c r="S68" s="1"/>
      <c r="T68" s="1"/>
      <c r="U68" s="13"/>
      <c r="V68" s="4"/>
    </row>
    <row r="69" spans="1:22" ht="22.8">
      <c r="A69" s="30">
        <v>68</v>
      </c>
      <c r="B69" s="3"/>
      <c r="C69" s="3"/>
      <c r="D69" s="15">
        <v>981</v>
      </c>
      <c r="E69" s="15" t="s">
        <v>18</v>
      </c>
      <c r="F69" s="63"/>
      <c r="G69" s="14" t="s">
        <v>282</v>
      </c>
      <c r="H69" s="121" t="s">
        <v>281</v>
      </c>
      <c r="I69" s="1"/>
      <c r="J69" s="111"/>
      <c r="K69" s="194" t="s">
        <v>327</v>
      </c>
      <c r="L69" s="47"/>
      <c r="M69" s="117" t="s">
        <v>46</v>
      </c>
      <c r="N69" s="18"/>
      <c r="O69" s="18"/>
      <c r="P69" s="194" t="s">
        <v>327</v>
      </c>
      <c r="Q69" s="194" t="s">
        <v>327</v>
      </c>
      <c r="R69" s="14" t="s">
        <v>62</v>
      </c>
      <c r="S69" s="1"/>
      <c r="T69" s="1"/>
      <c r="U69" s="13"/>
      <c r="V69" s="4"/>
    </row>
    <row r="70" spans="1:22" ht="22.8">
      <c r="A70" s="30">
        <v>69</v>
      </c>
      <c r="B70" s="3"/>
      <c r="C70" s="3"/>
      <c r="D70" s="15">
        <v>982</v>
      </c>
      <c r="E70" s="15" t="s">
        <v>18</v>
      </c>
      <c r="F70" s="63" t="s">
        <v>7</v>
      </c>
      <c r="G70" s="14" t="s">
        <v>283</v>
      </c>
      <c r="H70" s="121" t="s">
        <v>281</v>
      </c>
      <c r="I70" s="1"/>
      <c r="J70" s="111"/>
      <c r="K70" s="194" t="s">
        <v>327</v>
      </c>
      <c r="L70" s="47"/>
      <c r="M70" s="117" t="s">
        <v>46</v>
      </c>
      <c r="N70" s="18"/>
      <c r="O70" s="18"/>
      <c r="P70" s="194" t="s">
        <v>327</v>
      </c>
      <c r="Q70" s="194" t="s">
        <v>327</v>
      </c>
      <c r="R70" s="14" t="s">
        <v>62</v>
      </c>
      <c r="S70" s="1"/>
      <c r="T70" s="1"/>
      <c r="U70" s="13"/>
      <c r="V70" s="4"/>
    </row>
    <row r="71" spans="1:22" ht="22.8">
      <c r="A71" s="30">
        <v>70</v>
      </c>
      <c r="B71" s="13"/>
      <c r="C71" s="13"/>
      <c r="D71" s="15">
        <v>983</v>
      </c>
      <c r="E71" s="15" t="s">
        <v>18</v>
      </c>
      <c r="F71" s="63" t="s">
        <v>7</v>
      </c>
      <c r="G71" s="1" t="s">
        <v>284</v>
      </c>
      <c r="H71" s="121" t="s">
        <v>281</v>
      </c>
      <c r="I71" s="1"/>
      <c r="J71" s="111"/>
      <c r="K71" s="194" t="s">
        <v>327</v>
      </c>
      <c r="L71" s="48"/>
      <c r="M71" s="117" t="s">
        <v>46</v>
      </c>
      <c r="N71" s="18"/>
      <c r="O71" s="18"/>
      <c r="P71" s="194" t="s">
        <v>327</v>
      </c>
      <c r="Q71" s="194" t="s">
        <v>327</v>
      </c>
      <c r="R71" s="14" t="s">
        <v>62</v>
      </c>
      <c r="S71" s="1"/>
      <c r="T71" s="1"/>
      <c r="U71" s="13"/>
      <c r="V71" s="4"/>
    </row>
    <row r="72" spans="1:22" ht="153">
      <c r="A72" s="30">
        <v>71</v>
      </c>
      <c r="B72" s="13"/>
      <c r="C72" s="13"/>
      <c r="D72" s="15">
        <v>984</v>
      </c>
      <c r="E72" s="15" t="s">
        <v>18</v>
      </c>
      <c r="F72" s="63" t="s">
        <v>285</v>
      </c>
      <c r="G72" s="1" t="s">
        <v>286</v>
      </c>
      <c r="H72" s="120" t="s">
        <v>287</v>
      </c>
      <c r="I72" s="1"/>
      <c r="J72" s="111"/>
      <c r="K72" s="194" t="s">
        <v>327</v>
      </c>
      <c r="L72" s="47"/>
      <c r="M72" s="117" t="s">
        <v>230</v>
      </c>
      <c r="N72" s="18"/>
      <c r="O72" s="18"/>
      <c r="P72" s="194" t="s">
        <v>327</v>
      </c>
      <c r="Q72" s="194" t="s">
        <v>327</v>
      </c>
      <c r="R72" s="14" t="s">
        <v>62</v>
      </c>
      <c r="S72" s="1"/>
      <c r="T72" s="1"/>
      <c r="U72" s="13"/>
      <c r="V72" s="4"/>
    </row>
    <row r="73" spans="1:22" ht="81.599999999999994">
      <c r="A73" s="30">
        <v>72</v>
      </c>
      <c r="B73" s="3"/>
      <c r="C73" s="3"/>
      <c r="D73" s="15">
        <v>985</v>
      </c>
      <c r="E73" s="15" t="s">
        <v>288</v>
      </c>
      <c r="F73" s="63" t="s">
        <v>289</v>
      </c>
      <c r="G73" s="14" t="s">
        <v>290</v>
      </c>
      <c r="H73" s="101" t="s">
        <v>291</v>
      </c>
      <c r="I73" s="1"/>
      <c r="J73" s="111"/>
      <c r="K73" s="194" t="s">
        <v>327</v>
      </c>
      <c r="L73" s="47"/>
      <c r="M73" s="117" t="s">
        <v>46</v>
      </c>
      <c r="N73" s="18"/>
      <c r="O73" s="18"/>
      <c r="P73" s="194" t="s">
        <v>327</v>
      </c>
      <c r="Q73" s="194" t="s">
        <v>327</v>
      </c>
      <c r="R73" s="14" t="s">
        <v>62</v>
      </c>
      <c r="S73" s="1"/>
      <c r="T73" s="1"/>
      <c r="U73" s="13"/>
      <c r="V73" s="4"/>
    </row>
    <row r="74" spans="1:22" ht="57">
      <c r="A74" s="30">
        <v>73</v>
      </c>
      <c r="B74" s="3"/>
      <c r="C74" s="3"/>
      <c r="D74" s="15">
        <v>1039</v>
      </c>
      <c r="E74" s="15" t="s">
        <v>292</v>
      </c>
      <c r="F74" s="63" t="s">
        <v>7</v>
      </c>
      <c r="G74" s="14" t="s">
        <v>293</v>
      </c>
      <c r="H74" s="103" t="s">
        <v>294</v>
      </c>
      <c r="I74" s="1" t="s">
        <v>295</v>
      </c>
      <c r="J74" s="111"/>
      <c r="K74" s="194" t="s">
        <v>327</v>
      </c>
      <c r="L74" s="47"/>
      <c r="M74" s="117" t="s">
        <v>46</v>
      </c>
      <c r="N74" s="18"/>
      <c r="O74" s="18"/>
      <c r="P74" s="194" t="s">
        <v>327</v>
      </c>
      <c r="Q74" s="194" t="s">
        <v>327</v>
      </c>
      <c r="R74" s="14" t="s">
        <v>62</v>
      </c>
      <c r="S74" s="1" t="s">
        <v>296</v>
      </c>
      <c r="T74" s="1"/>
      <c r="U74" s="13"/>
      <c r="V74" s="4"/>
    </row>
    <row r="75" spans="1:22" ht="57">
      <c r="A75" s="30">
        <v>74</v>
      </c>
      <c r="B75" s="3"/>
      <c r="C75" s="3"/>
      <c r="D75" s="15">
        <v>1048</v>
      </c>
      <c r="E75" s="15" t="s">
        <v>292</v>
      </c>
      <c r="F75" s="63" t="s">
        <v>7</v>
      </c>
      <c r="G75" s="14" t="s">
        <v>297</v>
      </c>
      <c r="H75" s="103" t="s">
        <v>294</v>
      </c>
      <c r="I75" s="1" t="s">
        <v>298</v>
      </c>
      <c r="J75" s="111"/>
      <c r="K75" s="194" t="s">
        <v>327</v>
      </c>
      <c r="L75" s="47"/>
      <c r="M75" s="117" t="s">
        <v>46</v>
      </c>
      <c r="N75" s="18"/>
      <c r="O75" s="18"/>
      <c r="P75" s="194" t="s">
        <v>327</v>
      </c>
      <c r="Q75" s="194" t="s">
        <v>327</v>
      </c>
      <c r="R75" s="14" t="s">
        <v>62</v>
      </c>
      <c r="S75" s="1" t="s">
        <v>299</v>
      </c>
      <c r="T75" s="1"/>
      <c r="U75" s="13"/>
      <c r="V75" s="4"/>
    </row>
    <row r="76" spans="1:22" ht="68.400000000000006">
      <c r="A76" s="30">
        <v>75</v>
      </c>
      <c r="B76" s="3"/>
      <c r="C76" s="3"/>
      <c r="D76" s="15">
        <v>1057</v>
      </c>
      <c r="E76" s="15" t="s">
        <v>292</v>
      </c>
      <c r="F76" s="63" t="s">
        <v>7</v>
      </c>
      <c r="G76" s="14" t="s">
        <v>300</v>
      </c>
      <c r="H76" s="103" t="s">
        <v>294</v>
      </c>
      <c r="I76" s="1" t="s">
        <v>301</v>
      </c>
      <c r="J76" s="111"/>
      <c r="K76" s="194" t="s">
        <v>327</v>
      </c>
      <c r="L76" s="47"/>
      <c r="M76" s="117" t="s">
        <v>46</v>
      </c>
      <c r="N76" s="18"/>
      <c r="O76" s="18"/>
      <c r="P76" s="194" t="s">
        <v>327</v>
      </c>
      <c r="Q76" s="194" t="s">
        <v>327</v>
      </c>
      <c r="R76" s="14" t="s">
        <v>62</v>
      </c>
      <c r="S76" s="1" t="s">
        <v>302</v>
      </c>
      <c r="T76" s="1"/>
      <c r="U76" s="13"/>
      <c r="V76" s="4"/>
    </row>
    <row r="77" spans="1:22">
      <c r="A77" s="30">
        <v>76</v>
      </c>
      <c r="B77" s="146"/>
      <c r="C77" s="146"/>
      <c r="D77" s="124">
        <v>1066</v>
      </c>
      <c r="E77" s="124" t="s">
        <v>18</v>
      </c>
      <c r="F77" s="147" t="s">
        <v>7</v>
      </c>
      <c r="G77" s="148" t="s">
        <v>303</v>
      </c>
      <c r="H77" s="157"/>
      <c r="I77" s="150"/>
      <c r="J77" s="151"/>
      <c r="K77" s="148" t="s">
        <v>304</v>
      </c>
      <c r="L77" s="158"/>
      <c r="M77" s="153" t="s">
        <v>230</v>
      </c>
      <c r="N77" s="154"/>
      <c r="O77" s="154"/>
      <c r="P77" s="148" t="s">
        <v>304</v>
      </c>
      <c r="Q77" s="195" t="s">
        <v>7</v>
      </c>
      <c r="R77" s="148" t="s">
        <v>304</v>
      </c>
      <c r="S77" s="150" t="s">
        <v>7</v>
      </c>
      <c r="T77" s="150"/>
      <c r="U77" s="156"/>
      <c r="V77" s="125"/>
    </row>
    <row r="78" spans="1:22" ht="71.400000000000006">
      <c r="A78" s="30">
        <v>77</v>
      </c>
      <c r="B78" s="3"/>
      <c r="C78" s="3"/>
      <c r="D78" s="15">
        <v>1067</v>
      </c>
      <c r="E78" s="15" t="s">
        <v>18</v>
      </c>
      <c r="F78" s="63" t="s">
        <v>305</v>
      </c>
      <c r="G78" s="4" t="s">
        <v>306</v>
      </c>
      <c r="H78" s="101" t="s">
        <v>307</v>
      </c>
      <c r="I78" s="1"/>
      <c r="J78" s="111"/>
      <c r="K78" s="194" t="s">
        <v>62</v>
      </c>
      <c r="L78" s="47"/>
      <c r="M78" s="117" t="s">
        <v>46</v>
      </c>
      <c r="N78" s="18"/>
      <c r="O78" s="18"/>
      <c r="P78" s="194" t="s">
        <v>62</v>
      </c>
      <c r="Q78" s="194" t="s">
        <v>62</v>
      </c>
      <c r="R78" s="14" t="s">
        <v>62</v>
      </c>
      <c r="S78" s="1"/>
      <c r="T78" s="1"/>
      <c r="U78" s="13"/>
      <c r="V78" s="4"/>
    </row>
    <row r="79" spans="1:22" ht="71.400000000000006">
      <c r="A79" s="30">
        <v>78</v>
      </c>
      <c r="B79" s="3"/>
      <c r="C79" s="3"/>
      <c r="D79" s="15">
        <v>1068</v>
      </c>
      <c r="E79" s="15" t="s">
        <v>308</v>
      </c>
      <c r="F79" s="63" t="s">
        <v>309</v>
      </c>
      <c r="G79" s="14" t="s">
        <v>310</v>
      </c>
      <c r="H79" s="120" t="s">
        <v>311</v>
      </c>
      <c r="I79" s="1" t="s">
        <v>312</v>
      </c>
      <c r="J79" s="111"/>
      <c r="K79" s="194" t="s">
        <v>327</v>
      </c>
      <c r="L79" s="91" t="s">
        <v>18</v>
      </c>
      <c r="M79" s="117" t="s">
        <v>46</v>
      </c>
      <c r="N79" s="18"/>
      <c r="O79" s="18"/>
      <c r="P79" s="194" t="s">
        <v>327</v>
      </c>
      <c r="Q79" s="194" t="s">
        <v>327</v>
      </c>
      <c r="R79" s="14" t="s">
        <v>62</v>
      </c>
      <c r="S79" s="1" t="s">
        <v>144</v>
      </c>
      <c r="T79" s="1"/>
      <c r="U79" s="13"/>
      <c r="V79" s="4"/>
    </row>
    <row r="80" spans="1:22">
      <c r="A80" s="30">
        <v>79</v>
      </c>
      <c r="B80" s="146"/>
      <c r="C80" s="146"/>
      <c r="D80" s="124">
        <v>1069</v>
      </c>
      <c r="E80" s="124" t="s">
        <v>313</v>
      </c>
      <c r="F80" s="147" t="s">
        <v>7</v>
      </c>
      <c r="G80" s="148" t="s">
        <v>314</v>
      </c>
      <c r="H80" s="149"/>
      <c r="I80" s="150"/>
      <c r="J80" s="151"/>
      <c r="K80" s="148" t="s">
        <v>62</v>
      </c>
      <c r="L80" s="152"/>
      <c r="M80" s="153" t="s">
        <v>46</v>
      </c>
      <c r="N80" s="154"/>
      <c r="O80" s="154"/>
      <c r="P80" s="148" t="s">
        <v>62</v>
      </c>
      <c r="Q80" s="195" t="s">
        <v>7</v>
      </c>
      <c r="R80" s="148" t="s">
        <v>62</v>
      </c>
      <c r="S80" s="150"/>
      <c r="T80" s="150"/>
      <c r="U80" s="156"/>
      <c r="V80" s="125"/>
    </row>
    <row r="81" spans="1:22" ht="22.8">
      <c r="A81" s="30">
        <v>80</v>
      </c>
      <c r="B81" s="146"/>
      <c r="C81" s="146"/>
      <c r="D81" s="124">
        <v>1077</v>
      </c>
      <c r="E81" s="124" t="s">
        <v>18</v>
      </c>
      <c r="F81" s="147" t="s">
        <v>7</v>
      </c>
      <c r="G81" s="148" t="s">
        <v>315</v>
      </c>
      <c r="H81" s="155" t="s">
        <v>316</v>
      </c>
      <c r="I81" s="150"/>
      <c r="J81" s="151" t="s">
        <v>317</v>
      </c>
      <c r="K81" s="196" t="s">
        <v>318</v>
      </c>
      <c r="L81" s="47"/>
      <c r="M81" s="168" t="s">
        <v>46</v>
      </c>
      <c r="N81" s="169"/>
      <c r="O81" s="169"/>
      <c r="P81" s="196" t="s">
        <v>318</v>
      </c>
      <c r="Q81" s="196" t="s">
        <v>318</v>
      </c>
      <c r="R81" s="171" t="s">
        <v>318</v>
      </c>
      <c r="S81" s="164" t="s">
        <v>7</v>
      </c>
      <c r="T81" s="164" t="s">
        <v>7</v>
      </c>
      <c r="U81" s="172"/>
      <c r="V81" s="167"/>
    </row>
    <row r="82" spans="1:22" ht="122.4">
      <c r="A82" s="30">
        <v>81</v>
      </c>
      <c r="B82" s="13"/>
      <c r="C82" s="13"/>
      <c r="D82" s="15">
        <v>1078</v>
      </c>
      <c r="E82" s="15" t="s">
        <v>18</v>
      </c>
      <c r="F82" s="63" t="s">
        <v>7</v>
      </c>
      <c r="G82" s="1" t="s">
        <v>319</v>
      </c>
      <c r="H82" s="101" t="s">
        <v>320</v>
      </c>
      <c r="I82" s="1" t="s">
        <v>321</v>
      </c>
      <c r="J82" s="111"/>
      <c r="K82" s="194" t="s">
        <v>322</v>
      </c>
      <c r="L82" s="47"/>
      <c r="M82" s="117" t="s">
        <v>46</v>
      </c>
      <c r="N82" s="22"/>
      <c r="O82" s="22"/>
      <c r="P82" s="194" t="s">
        <v>322</v>
      </c>
      <c r="Q82" s="194" t="s">
        <v>322</v>
      </c>
      <c r="R82" s="14" t="s">
        <v>62</v>
      </c>
      <c r="S82" s="1" t="s">
        <v>322</v>
      </c>
      <c r="T82" s="1"/>
      <c r="U82" s="13"/>
      <c r="V82" s="4"/>
    </row>
    <row r="83" spans="1:22" ht="122.4">
      <c r="A83" s="30">
        <v>82</v>
      </c>
      <c r="B83" s="3"/>
      <c r="C83" s="3"/>
      <c r="D83" s="15">
        <v>1079</v>
      </c>
      <c r="E83" s="62" t="s">
        <v>18</v>
      </c>
      <c r="F83" s="63" t="s">
        <v>7</v>
      </c>
      <c r="G83" s="14" t="s">
        <v>323</v>
      </c>
      <c r="H83" s="101" t="s">
        <v>324</v>
      </c>
      <c r="I83" s="164" t="s">
        <v>321</v>
      </c>
      <c r="J83" s="111"/>
      <c r="K83" s="194" t="s">
        <v>327</v>
      </c>
      <c r="L83" s="47"/>
      <c r="M83" s="117" t="s">
        <v>46</v>
      </c>
      <c r="N83" s="18"/>
      <c r="O83" s="18"/>
      <c r="P83" s="194" t="s">
        <v>327</v>
      </c>
      <c r="Q83" s="194" t="s">
        <v>327</v>
      </c>
      <c r="R83" s="14" t="s">
        <v>62</v>
      </c>
      <c r="S83" s="1" t="s">
        <v>322</v>
      </c>
      <c r="T83" s="1"/>
      <c r="U83" s="13"/>
      <c r="V83" s="4"/>
    </row>
    <row r="84" spans="1:22" ht="132.6">
      <c r="A84" s="30">
        <v>83</v>
      </c>
      <c r="B84" s="3"/>
      <c r="C84" s="3"/>
      <c r="D84" s="15">
        <v>1080</v>
      </c>
      <c r="E84" s="15" t="s">
        <v>18</v>
      </c>
      <c r="F84" s="63" t="s">
        <v>7</v>
      </c>
      <c r="G84" s="14" t="s">
        <v>325</v>
      </c>
      <c r="H84" s="101" t="s">
        <v>326</v>
      </c>
      <c r="I84" s="1"/>
      <c r="J84" s="111"/>
      <c r="K84" s="194" t="s">
        <v>327</v>
      </c>
      <c r="L84" s="47"/>
      <c r="M84" s="117" t="s">
        <v>46</v>
      </c>
      <c r="N84" s="18"/>
      <c r="O84" s="18"/>
      <c r="P84" s="194" t="s">
        <v>327</v>
      </c>
      <c r="Q84" s="194" t="s">
        <v>327</v>
      </c>
      <c r="R84" s="14" t="s">
        <v>327</v>
      </c>
      <c r="S84" s="1" t="s">
        <v>328</v>
      </c>
      <c r="T84" s="1" t="s">
        <v>329</v>
      </c>
      <c r="U84" s="13"/>
      <c r="V84" s="4"/>
    </row>
    <row r="85" spans="1:22" ht="45.6">
      <c r="A85" s="30">
        <v>84</v>
      </c>
      <c r="B85" s="3"/>
      <c r="C85" s="3"/>
      <c r="D85" s="15">
        <v>1081</v>
      </c>
      <c r="E85" s="15" t="s">
        <v>330</v>
      </c>
      <c r="F85" s="63" t="s">
        <v>7</v>
      </c>
      <c r="G85" s="14" t="s">
        <v>331</v>
      </c>
      <c r="H85" s="101" t="s">
        <v>332</v>
      </c>
      <c r="I85" s="1" t="s">
        <v>321</v>
      </c>
      <c r="J85" s="111"/>
      <c r="K85" s="194" t="s">
        <v>327</v>
      </c>
      <c r="L85" s="47"/>
      <c r="M85" s="117" t="s">
        <v>46</v>
      </c>
      <c r="N85" s="18"/>
      <c r="O85" s="18"/>
      <c r="P85" s="194" t="s">
        <v>327</v>
      </c>
      <c r="Q85" s="194" t="s">
        <v>327</v>
      </c>
      <c r="R85" s="14" t="s">
        <v>327</v>
      </c>
      <c r="S85" s="1" t="s">
        <v>322</v>
      </c>
      <c r="T85" s="1"/>
      <c r="U85" s="13"/>
      <c r="V85" s="4"/>
    </row>
    <row r="86" spans="1:22" ht="142.80000000000001">
      <c r="A86" s="30">
        <v>85</v>
      </c>
      <c r="B86" s="3"/>
      <c r="C86" s="3"/>
      <c r="D86" s="15">
        <v>1092</v>
      </c>
      <c r="E86" s="15" t="s">
        <v>18</v>
      </c>
      <c r="F86" s="63" t="s">
        <v>7</v>
      </c>
      <c r="G86" s="14" t="s">
        <v>333</v>
      </c>
      <c r="H86" s="101" t="s">
        <v>334</v>
      </c>
      <c r="J86" s="111" t="s">
        <v>335</v>
      </c>
      <c r="K86" s="262" t="s">
        <v>322</v>
      </c>
      <c r="L86" s="47"/>
      <c r="M86" s="117" t="s">
        <v>46</v>
      </c>
      <c r="N86" s="18"/>
      <c r="O86" s="18"/>
      <c r="P86" s="262" t="s">
        <v>322</v>
      </c>
      <c r="Q86" s="262" t="s">
        <v>322</v>
      </c>
      <c r="R86" s="14" t="s">
        <v>327</v>
      </c>
      <c r="S86" s="1" t="s">
        <v>322</v>
      </c>
      <c r="T86" s="1" t="s">
        <v>336</v>
      </c>
      <c r="U86" s="13"/>
      <c r="V86" s="4"/>
    </row>
    <row r="87" spans="1:22" ht="40.799999999999997">
      <c r="A87" s="30">
        <v>86</v>
      </c>
      <c r="B87" s="3"/>
      <c r="C87" s="3"/>
      <c r="D87" s="15">
        <v>1093</v>
      </c>
      <c r="E87" s="62" t="s">
        <v>330</v>
      </c>
      <c r="F87" s="63" t="s">
        <v>7</v>
      </c>
      <c r="G87" s="14" t="s">
        <v>337</v>
      </c>
      <c r="H87" s="101" t="s">
        <v>338</v>
      </c>
      <c r="I87" s="1"/>
      <c r="J87" s="111"/>
      <c r="K87" s="194" t="s">
        <v>327</v>
      </c>
      <c r="L87" s="47"/>
      <c r="M87" s="117" t="s">
        <v>46</v>
      </c>
      <c r="N87" s="22"/>
      <c r="O87" s="22"/>
      <c r="P87" s="194" t="s">
        <v>327</v>
      </c>
      <c r="Q87" s="194" t="s">
        <v>327</v>
      </c>
      <c r="R87" s="14" t="s">
        <v>327</v>
      </c>
      <c r="S87" s="1"/>
      <c r="T87" s="1"/>
      <c r="U87" s="13"/>
      <c r="V87" s="4"/>
    </row>
    <row r="88" spans="1:22" ht="153">
      <c r="A88" s="30">
        <v>87</v>
      </c>
      <c r="B88" s="3"/>
      <c r="C88" s="3"/>
      <c r="D88" s="15">
        <v>1104</v>
      </c>
      <c r="E88" s="62" t="s">
        <v>18</v>
      </c>
      <c r="F88" s="63" t="s">
        <v>7</v>
      </c>
      <c r="G88" s="14" t="s">
        <v>339</v>
      </c>
      <c r="H88" s="101" t="s">
        <v>340</v>
      </c>
      <c r="I88" s="1"/>
      <c r="J88" s="111"/>
      <c r="K88" s="194" t="s">
        <v>327</v>
      </c>
      <c r="L88" s="47"/>
      <c r="M88" s="117" t="s">
        <v>46</v>
      </c>
      <c r="N88" s="22"/>
      <c r="O88" s="22"/>
      <c r="P88" s="194" t="s">
        <v>327</v>
      </c>
      <c r="Q88" s="194" t="s">
        <v>327</v>
      </c>
      <c r="R88" s="14" t="s">
        <v>327</v>
      </c>
      <c r="S88" s="1" t="s">
        <v>322</v>
      </c>
      <c r="T88" s="1"/>
      <c r="U88" s="13"/>
      <c r="V88" s="4"/>
    </row>
    <row r="89" spans="1:22" ht="40.799999999999997">
      <c r="A89" s="30">
        <v>88</v>
      </c>
      <c r="B89" s="3"/>
      <c r="C89" s="3"/>
      <c r="D89" s="15">
        <v>1105</v>
      </c>
      <c r="E89" s="62" t="s">
        <v>330</v>
      </c>
      <c r="F89" s="63" t="s">
        <v>7</v>
      </c>
      <c r="G89" s="14" t="s">
        <v>341</v>
      </c>
      <c r="H89" s="101" t="s">
        <v>342</v>
      </c>
      <c r="I89" s="1"/>
      <c r="J89" s="111"/>
      <c r="K89" s="194" t="s">
        <v>327</v>
      </c>
      <c r="L89" s="47"/>
      <c r="M89" s="117" t="s">
        <v>46</v>
      </c>
      <c r="N89" s="22"/>
      <c r="O89" s="22"/>
      <c r="P89" s="194" t="s">
        <v>327</v>
      </c>
      <c r="Q89" s="194" t="s">
        <v>327</v>
      </c>
      <c r="R89" s="14" t="s">
        <v>327</v>
      </c>
      <c r="S89" s="1"/>
      <c r="T89" s="1"/>
      <c r="U89" s="13"/>
      <c r="V89" s="4"/>
    </row>
    <row r="90" spans="1:22" ht="153">
      <c r="A90" s="30">
        <v>89</v>
      </c>
      <c r="B90" s="3"/>
      <c r="C90" s="3"/>
      <c r="D90" s="15">
        <v>1116</v>
      </c>
      <c r="E90" s="62" t="s">
        <v>18</v>
      </c>
      <c r="F90" s="63" t="s">
        <v>7</v>
      </c>
      <c r="G90" s="14" t="s">
        <v>343</v>
      </c>
      <c r="H90" s="101" t="s">
        <v>344</v>
      </c>
      <c r="I90" s="1"/>
      <c r="J90" s="111"/>
      <c r="K90" s="194" t="s">
        <v>327</v>
      </c>
      <c r="L90" s="47"/>
      <c r="M90" s="117" t="s">
        <v>46</v>
      </c>
      <c r="N90" s="18"/>
      <c r="O90" s="18"/>
      <c r="P90" s="194" t="s">
        <v>327</v>
      </c>
      <c r="Q90" s="194" t="s">
        <v>327</v>
      </c>
      <c r="R90" s="14" t="s">
        <v>327</v>
      </c>
      <c r="S90" s="1" t="s">
        <v>322</v>
      </c>
      <c r="T90" s="1"/>
      <c r="U90" s="13"/>
      <c r="V90" s="4"/>
    </row>
    <row r="91" spans="1:22" ht="61.2">
      <c r="A91" s="30">
        <v>90</v>
      </c>
      <c r="B91" s="3"/>
      <c r="C91" s="3"/>
      <c r="D91" s="15">
        <v>1117</v>
      </c>
      <c r="E91" s="15" t="s">
        <v>225</v>
      </c>
      <c r="F91" s="63" t="s">
        <v>7</v>
      </c>
      <c r="G91" s="14" t="s">
        <v>345</v>
      </c>
      <c r="H91" s="101" t="s">
        <v>346</v>
      </c>
      <c r="I91" s="1"/>
      <c r="J91" s="111"/>
      <c r="K91" s="194" t="s">
        <v>327</v>
      </c>
      <c r="L91" s="47"/>
      <c r="M91" s="117" t="s">
        <v>52</v>
      </c>
      <c r="N91" s="18"/>
      <c r="O91" s="18"/>
      <c r="P91" s="194" t="s">
        <v>327</v>
      </c>
      <c r="Q91" s="194" t="s">
        <v>327</v>
      </c>
      <c r="R91" s="14" t="s">
        <v>327</v>
      </c>
      <c r="S91" s="1" t="s">
        <v>347</v>
      </c>
      <c r="T91" s="1"/>
      <c r="U91" s="13"/>
      <c r="V91" s="4"/>
    </row>
    <row r="92" spans="1:22" ht="61.2">
      <c r="A92" s="30">
        <v>91</v>
      </c>
      <c r="B92" s="3"/>
      <c r="C92" s="3"/>
      <c r="D92" s="15">
        <v>1120</v>
      </c>
      <c r="E92" s="15" t="s">
        <v>232</v>
      </c>
      <c r="F92" s="63" t="s">
        <v>7</v>
      </c>
      <c r="G92" s="14" t="s">
        <v>348</v>
      </c>
      <c r="H92" s="101" t="s">
        <v>349</v>
      </c>
      <c r="I92" s="1"/>
      <c r="J92" s="111"/>
      <c r="K92" s="194" t="s">
        <v>327</v>
      </c>
      <c r="L92" s="47"/>
      <c r="M92" s="117" t="s">
        <v>52</v>
      </c>
      <c r="N92" s="18"/>
      <c r="O92" s="18"/>
      <c r="P92" s="194" t="s">
        <v>327</v>
      </c>
      <c r="Q92" s="194" t="s">
        <v>327</v>
      </c>
      <c r="R92" s="14" t="s">
        <v>327</v>
      </c>
      <c r="S92" s="1" t="s">
        <v>350</v>
      </c>
      <c r="T92" s="1"/>
      <c r="U92" s="13"/>
      <c r="V92" s="4"/>
    </row>
    <row r="93" spans="1:22" ht="71.400000000000006">
      <c r="A93" s="30">
        <v>92</v>
      </c>
      <c r="B93" s="3"/>
      <c r="C93" s="3"/>
      <c r="D93" s="15">
        <v>1124</v>
      </c>
      <c r="E93" s="15" t="s">
        <v>48</v>
      </c>
      <c r="F93" s="63"/>
      <c r="G93" s="14" t="s">
        <v>351</v>
      </c>
      <c r="H93" s="101" t="s">
        <v>352</v>
      </c>
      <c r="I93" s="1"/>
      <c r="J93" s="111"/>
      <c r="K93" s="194" t="s">
        <v>327</v>
      </c>
      <c r="L93" s="47"/>
      <c r="M93" s="117" t="s">
        <v>52</v>
      </c>
      <c r="N93" s="18"/>
      <c r="O93" s="18"/>
      <c r="P93" s="194" t="s">
        <v>327</v>
      </c>
      <c r="Q93" s="194" t="s">
        <v>327</v>
      </c>
      <c r="R93" s="14" t="s">
        <v>327</v>
      </c>
      <c r="S93" s="1" t="s">
        <v>353</v>
      </c>
      <c r="T93" s="1"/>
      <c r="U93" s="13"/>
      <c r="V93" s="4"/>
    </row>
    <row r="94" spans="1:22" ht="91.8">
      <c r="A94" s="30">
        <v>93</v>
      </c>
      <c r="B94" s="13"/>
      <c r="C94" s="13"/>
      <c r="D94" s="15">
        <v>1132</v>
      </c>
      <c r="E94" s="15" t="s">
        <v>18</v>
      </c>
      <c r="F94" s="63" t="s">
        <v>7</v>
      </c>
      <c r="G94" s="1" t="s">
        <v>354</v>
      </c>
      <c r="H94" s="101" t="s">
        <v>355</v>
      </c>
      <c r="I94" s="1"/>
      <c r="J94" s="111"/>
      <c r="K94" s="116" t="s">
        <v>557</v>
      </c>
      <c r="L94" s="47"/>
      <c r="M94" s="117" t="s">
        <v>52</v>
      </c>
      <c r="N94" s="18"/>
      <c r="O94" s="18"/>
      <c r="P94" s="116" t="s">
        <v>557</v>
      </c>
      <c r="Q94" s="116" t="s">
        <v>557</v>
      </c>
      <c r="R94" s="14" t="s">
        <v>327</v>
      </c>
      <c r="S94" s="1" t="s">
        <v>356</v>
      </c>
      <c r="T94" s="1" t="s">
        <v>7</v>
      </c>
      <c r="U94" s="13"/>
      <c r="V94" s="4"/>
    </row>
    <row r="95" spans="1:22" ht="51">
      <c r="A95" s="30">
        <v>94</v>
      </c>
      <c r="B95" s="3"/>
      <c r="C95" s="3"/>
      <c r="D95" s="15">
        <v>1133</v>
      </c>
      <c r="E95" s="15" t="s">
        <v>18</v>
      </c>
      <c r="F95" s="63"/>
      <c r="G95" s="14" t="s">
        <v>357</v>
      </c>
      <c r="H95" s="120" t="s">
        <v>358</v>
      </c>
      <c r="I95" s="1"/>
      <c r="J95" s="111"/>
      <c r="K95" s="194" t="s">
        <v>327</v>
      </c>
      <c r="L95" s="47"/>
      <c r="M95" s="117" t="s">
        <v>46</v>
      </c>
      <c r="N95" s="18"/>
      <c r="O95" s="18"/>
      <c r="P95" s="194" t="s">
        <v>327</v>
      </c>
      <c r="Q95" s="194" t="s">
        <v>327</v>
      </c>
      <c r="R95" s="14" t="s">
        <v>327</v>
      </c>
      <c r="S95" s="1"/>
      <c r="T95" s="1"/>
      <c r="U95" s="13"/>
      <c r="V95" s="4"/>
    </row>
    <row r="96" spans="1:22">
      <c r="A96" s="30">
        <v>95</v>
      </c>
      <c r="B96" s="129"/>
      <c r="C96" s="129"/>
      <c r="D96" s="130">
        <v>1134</v>
      </c>
      <c r="E96" s="130" t="s">
        <v>82</v>
      </c>
      <c r="F96" s="131"/>
      <c r="G96" s="132" t="s">
        <v>359</v>
      </c>
      <c r="H96" s="133"/>
      <c r="I96" s="128"/>
      <c r="J96" s="134"/>
      <c r="K96" s="198" t="s">
        <v>327</v>
      </c>
      <c r="L96" s="135"/>
      <c r="M96" s="136"/>
      <c r="N96" s="138"/>
      <c r="O96" s="138"/>
      <c r="P96" s="198" t="s">
        <v>327</v>
      </c>
      <c r="Q96" s="198" t="s">
        <v>327</v>
      </c>
      <c r="R96" s="132" t="s">
        <v>327</v>
      </c>
      <c r="S96" s="128"/>
      <c r="T96" s="128"/>
      <c r="U96" s="139"/>
      <c r="V96" s="140"/>
    </row>
    <row r="97" spans="1:22">
      <c r="A97" s="30">
        <v>96</v>
      </c>
      <c r="B97" s="139"/>
      <c r="C97" s="139"/>
      <c r="D97" s="130">
        <v>1136</v>
      </c>
      <c r="E97" s="141" t="s">
        <v>360</v>
      </c>
      <c r="F97" s="131" t="s">
        <v>7</v>
      </c>
      <c r="G97" s="128" t="s">
        <v>361</v>
      </c>
      <c r="H97" s="142" t="s">
        <v>7</v>
      </c>
      <c r="I97" s="128"/>
      <c r="J97" s="134"/>
      <c r="K97" s="198" t="s">
        <v>362</v>
      </c>
      <c r="L97" s="143" t="s">
        <v>18</v>
      </c>
      <c r="M97" s="136" t="s">
        <v>46</v>
      </c>
      <c r="N97" s="138"/>
      <c r="O97" s="138"/>
      <c r="P97" s="198" t="s">
        <v>362</v>
      </c>
      <c r="Q97" s="198" t="s">
        <v>362</v>
      </c>
      <c r="R97" s="132" t="s">
        <v>362</v>
      </c>
      <c r="S97" s="128"/>
      <c r="T97" s="128"/>
      <c r="U97" s="139"/>
      <c r="V97" s="140"/>
    </row>
    <row r="98" spans="1:22">
      <c r="A98" s="30">
        <v>97</v>
      </c>
      <c r="B98" s="129"/>
      <c r="C98" s="129"/>
      <c r="D98" s="130">
        <v>1141</v>
      </c>
      <c r="E98" s="130" t="s">
        <v>18</v>
      </c>
      <c r="F98" s="131" t="s">
        <v>7</v>
      </c>
      <c r="G98" s="144" t="s">
        <v>363</v>
      </c>
      <c r="H98" s="142" t="s">
        <v>7</v>
      </c>
      <c r="I98" s="128"/>
      <c r="J98" s="134"/>
      <c r="K98" s="198" t="s">
        <v>362</v>
      </c>
      <c r="L98" s="143" t="s">
        <v>18</v>
      </c>
      <c r="M98" s="136" t="s">
        <v>46</v>
      </c>
      <c r="N98" s="138"/>
      <c r="O98" s="138"/>
      <c r="P98" s="198" t="s">
        <v>362</v>
      </c>
      <c r="Q98" s="198" t="s">
        <v>362</v>
      </c>
      <c r="R98" s="132" t="s">
        <v>362</v>
      </c>
      <c r="S98" s="128"/>
      <c r="T98" s="128"/>
      <c r="U98" s="139"/>
      <c r="V98" s="140"/>
    </row>
    <row r="99" spans="1:22">
      <c r="A99" s="4">
        <v>98</v>
      </c>
      <c r="B99" s="129"/>
      <c r="C99" s="129"/>
      <c r="D99" s="130">
        <v>1142</v>
      </c>
      <c r="E99" s="130" t="s">
        <v>364</v>
      </c>
      <c r="F99" s="131"/>
      <c r="G99" s="144" t="s">
        <v>314</v>
      </c>
      <c r="H99" s="132"/>
      <c r="I99" s="128"/>
      <c r="J99" s="128"/>
      <c r="K99" s="199" t="s">
        <v>362</v>
      </c>
      <c r="L99" s="137" t="s">
        <v>18</v>
      </c>
      <c r="M99" s="137" t="s">
        <v>46</v>
      </c>
      <c r="N99" s="145"/>
      <c r="O99" s="145"/>
      <c r="P99" s="199" t="s">
        <v>362</v>
      </c>
      <c r="Q99" s="199" t="s">
        <v>362</v>
      </c>
      <c r="R99" s="140" t="s">
        <v>362</v>
      </c>
      <c r="S99" s="140"/>
      <c r="T99" s="140"/>
      <c r="U99" s="140"/>
      <c r="V99" s="140"/>
    </row>
    <row r="100" spans="1:22">
      <c r="A100" s="5" t="s">
        <v>7</v>
      </c>
      <c r="B100" s="6"/>
      <c r="C100" s="6"/>
      <c r="G100" s="10"/>
      <c r="K100" s="7"/>
      <c r="L100" s="52"/>
      <c r="N100" s="24"/>
      <c r="O100" s="24"/>
      <c r="P100" s="7"/>
      <c r="R100" s="5"/>
      <c r="S100" s="5"/>
      <c r="T100" s="5"/>
      <c r="U100" s="5"/>
    </row>
    <row r="101" spans="1:22">
      <c r="A101" s="5" t="s">
        <v>7</v>
      </c>
      <c r="B101" s="6"/>
      <c r="C101" s="6"/>
      <c r="G101" s="10"/>
      <c r="K101" s="7"/>
      <c r="L101" s="52"/>
      <c r="N101" s="24"/>
      <c r="O101" s="24"/>
      <c r="P101" s="7"/>
      <c r="R101" s="5"/>
      <c r="S101" s="5"/>
      <c r="T101" s="5"/>
      <c r="U101" s="5"/>
    </row>
    <row r="102" spans="1:22">
      <c r="A102" s="5" t="s">
        <v>7</v>
      </c>
      <c r="B102" s="6"/>
      <c r="C102" s="6"/>
      <c r="G102" s="10"/>
      <c r="K102" s="7"/>
      <c r="L102" s="52"/>
      <c r="N102" s="24"/>
      <c r="O102" s="24"/>
      <c r="P102" s="7"/>
      <c r="R102" s="5"/>
      <c r="S102" s="5"/>
      <c r="T102" s="5"/>
      <c r="U102" s="5"/>
    </row>
    <row r="103" spans="1:22">
      <c r="A103" s="5" t="s">
        <v>7</v>
      </c>
      <c r="B103" s="6"/>
      <c r="C103" s="6"/>
      <c r="G103" s="10"/>
      <c r="K103" s="7"/>
      <c r="L103" s="52"/>
      <c r="N103" s="24"/>
      <c r="O103" s="24"/>
      <c r="P103" s="7"/>
      <c r="R103" s="5"/>
      <c r="S103" s="5"/>
      <c r="T103" s="5"/>
      <c r="U103" s="5"/>
    </row>
    <row r="104" spans="1:22">
      <c r="A104" s="5" t="s">
        <v>7</v>
      </c>
      <c r="B104" s="6"/>
      <c r="C104" s="6"/>
      <c r="G104" s="10"/>
      <c r="K104" s="7"/>
      <c r="L104" s="52"/>
      <c r="N104" s="24"/>
      <c r="O104" s="24"/>
      <c r="P104" s="7"/>
      <c r="R104" s="5"/>
      <c r="S104" s="5"/>
      <c r="T104" s="5"/>
      <c r="U104" s="5"/>
    </row>
    <row r="105" spans="1:22">
      <c r="A105" s="5" t="s">
        <v>7</v>
      </c>
      <c r="B105" s="6"/>
      <c r="C105" s="6"/>
      <c r="G105" s="10"/>
      <c r="K105" s="7"/>
      <c r="L105" s="52"/>
      <c r="N105" s="24"/>
      <c r="O105" s="24"/>
      <c r="P105" s="7"/>
      <c r="R105" s="5"/>
      <c r="S105" s="5"/>
      <c r="T105" s="5"/>
      <c r="U105" s="5"/>
    </row>
    <row r="106" spans="1:22">
      <c r="A106" s="5" t="s">
        <v>7</v>
      </c>
      <c r="B106" s="6"/>
      <c r="C106" s="6"/>
      <c r="G106" s="10"/>
      <c r="K106" s="7"/>
      <c r="L106" s="52"/>
      <c r="N106" s="24"/>
      <c r="O106" s="24"/>
      <c r="P106" s="7"/>
      <c r="R106" s="5"/>
      <c r="S106" s="5"/>
      <c r="T106" s="5"/>
      <c r="U106" s="5"/>
    </row>
    <row r="107" spans="1:22">
      <c r="A107" s="5" t="s">
        <v>7</v>
      </c>
      <c r="B107" s="6"/>
      <c r="C107" s="6"/>
      <c r="G107" s="10"/>
      <c r="K107" s="7"/>
      <c r="L107" s="52"/>
      <c r="N107" s="24"/>
      <c r="O107" s="24"/>
      <c r="P107" s="7"/>
      <c r="R107" s="5"/>
      <c r="S107" s="5"/>
      <c r="T107" s="5"/>
      <c r="U107" s="5"/>
    </row>
  </sheetData>
  <sheetProtection selectLockedCells="1" autoFilter="0"/>
  <protectedRanges>
    <protectedRange password="EE42" sqref="J70 B70:H70" name="Range1_1_1"/>
    <protectedRange password="EE42" sqref="J73 B73:H73" name="Range1_1_2"/>
    <protectedRange password="EE42" sqref="J78 B78:H78" name="Range1_3"/>
  </protectedRanges>
  <autoFilter ref="A1:U107" xr:uid="{00000000-0009-0000-0000-000003000000}"/>
  <dataValidations disablePrompts="1" count="1">
    <dataValidation type="list" allowBlank="1" showInputMessage="1" showErrorMessage="1" sqref="L23" xr:uid="{00000000-0002-0000-0300-000000000000}">
      <formula1>$R$23:$U$23</formula1>
    </dataValidation>
  </dataValidations>
  <hyperlinks>
    <hyperlink ref="L12" location="'NAINST TABLE (B)'!A1" display="X" xr:uid="{00000000-0004-0000-0300-000000000000}"/>
    <hyperlink ref="L13" location="'TABLE B OCCU'!D2" display="X" xr:uid="{00000000-0004-0000-0300-000001000000}"/>
    <hyperlink ref="L14" location="'IRA TITLING'!A1" display="X" xr:uid="{00000000-0004-0000-0300-000002000000}"/>
    <hyperlink ref="L15" location="'IRA TITLING'!A1" display="X" xr:uid="{00000000-0004-0000-0300-000003000000}"/>
    <hyperlink ref="L16" location="'IRA TITLING'!A1" display="X" xr:uid="{00000000-0004-0000-0300-000004000000}"/>
    <hyperlink ref="L17" location="'IRA TITLING'!A1" display="X" xr:uid="{00000000-0004-0000-0300-000005000000}"/>
    <hyperlink ref="L18" location="'IRA TITLING'!A1" display="X" xr:uid="{00000000-0004-0000-0300-000006000000}"/>
    <hyperlink ref="L19" location="'IRA TITLING'!A1" display="X" xr:uid="{00000000-0004-0000-0300-000007000000}"/>
    <hyperlink ref="L27" location="'TABLE C ASSOC FIELDS'!C2" display="X" xr:uid="{00000000-0004-0000-0300-000008000000}"/>
    <hyperlink ref="L28" location="'CNTRY CODE TABLE'!A1" display="X" xr:uid="{00000000-0004-0000-0300-000009000000}"/>
    <hyperlink ref="L32" location="'TABLE C ASSOC FIELDS'!K2" display="X" xr:uid="{00000000-0004-0000-0300-00000A000000}"/>
    <hyperlink ref="L39" location="'SI TABLE'!A1" display="X" xr:uid="{00000000-0004-0000-0300-00000B000000}"/>
    <hyperlink ref="L40" location="'TABLE A $ RANGE'!B24" display="X" xr:uid="{00000000-0004-0000-0300-00000C000000}"/>
    <hyperlink ref="L41" location="'TABLE A $ RANGE'!F24" display="X" xr:uid="{00000000-0004-0000-0300-00000D000000}"/>
    <hyperlink ref="L52" location="CLASS!A1" display="X" xr:uid="{00000000-0004-0000-0300-00000E000000}"/>
    <hyperlink ref="L30" location="'TABLE C ASSOC FIELDS'!G2" display="X" xr:uid="{00000000-0004-0000-0300-00000F000000}"/>
    <hyperlink ref="L46" location="'NAINST  ASSOC'!A1" display="X" xr:uid="{00000000-0004-0000-0300-000010000000}"/>
    <hyperlink ref="L49" location="'NAINST TABLE (B)'!A1" display="X" xr:uid="{00000000-0004-0000-0300-000011000000}"/>
    <hyperlink ref="H68" r:id="rId1" display="javascript:showDefinitionDetails('Firm-defined on FARM APCS.','SEC_OBJ1');" xr:uid="{00000000-0004-0000-0300-000012000000}"/>
    <hyperlink ref="H69" r:id="rId2" display="javascript:showDefinitionDetails('Firm-defined on FARM APCS.','SEC_OBJ1');" xr:uid="{00000000-0004-0000-0300-000013000000}"/>
    <hyperlink ref="H70" r:id="rId3" display="javascript:showDefinitionDetails('Firm-defined on FARM APCS.','SEC_OBJ1');" xr:uid="{00000000-0004-0000-0300-000014000000}"/>
    <hyperlink ref="H71" r:id="rId4" display="javascript:showDefinitionDetails('Firm-defined on FARM APCS.','SEC_OBJ1');" xr:uid="{00000000-0004-0000-0300-000015000000}"/>
    <hyperlink ref="L25" location="'TABLE A $ RANGE'!B2" display="X" xr:uid="{00000000-0004-0000-0300-000016000000}"/>
    <hyperlink ref="L33" location="'TABLE A $ RANGE'!F2" display="X" xr:uid="{00000000-0004-0000-0300-000017000000}"/>
    <hyperlink ref="L34" location="'TABLE A $ RANGE'!J2" display="X" xr:uid="{00000000-0004-0000-0300-000018000000}"/>
    <hyperlink ref="L67" location="'TABLE A $ RANGE'!J24" display="X" xr:uid="{00000000-0004-0000-0300-000019000000}"/>
    <hyperlink ref="L35" location="'TABLE C ASSOC FIELDS'!C26" display="X" xr:uid="{00000000-0004-0000-0300-00001A000000}"/>
    <hyperlink ref="L36" location="'TABLE C ASSOC FIELDS'!G26" display="X" xr:uid="{00000000-0004-0000-0300-00001B000000}"/>
    <hyperlink ref="L37" location="'TABLE C ASSOC FIELDS'!K26" display="X" xr:uid="{00000000-0004-0000-0300-00001C000000}"/>
    <hyperlink ref="L38" location="'TABLE C ASSOC FIELDS'!C46" display="X" xr:uid="{00000000-0004-0000-0300-00001D000000}"/>
    <hyperlink ref="L66" location="'TABLE C ASSOC FIELDS'!O2" display="X" xr:uid="{00000000-0004-0000-0300-00001E000000}"/>
    <hyperlink ref="L79" location="'TABLE C ASSOC FIELDS'!G46" display="X" xr:uid="{00000000-0004-0000-0300-00001F000000}"/>
  </hyperlinks>
  <printOptions horizontalCentered="1"/>
  <pageMargins left="0.17" right="0.16" top="0.36" bottom="0.42" header="0.13" footer="0.17"/>
  <pageSetup paperSize="5" scale="85" fitToHeight="18" orientation="landscape" horizontalDpi="300" verticalDpi="300" r:id="rId5"/>
  <headerFooter alignWithMargins="0">
    <oddHeader>&amp;L&amp;"Arial,Regular"Refinitiv&amp;C&amp;"Arial,Regular"DEMO Reverse Mapping&amp;R&amp;"Arial,Regular"New Installations - Conversions</oddHeader>
    <oddFooter>&amp;L&amp;"Arial,Regular"&amp;8Confidential&amp;C&amp;"Arial,Regular"&amp;8&amp;D&amp;R&amp;"Arial,Regular"&amp;8Page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1"/>
  <sheetViews>
    <sheetView zoomScaleNormal="100" workbookViewId="0">
      <selection activeCell="J53" sqref="J53"/>
    </sheetView>
  </sheetViews>
  <sheetFormatPr defaultRowHeight="14.4"/>
  <cols>
    <col min="1" max="2" width="18" style="93" customWidth="1"/>
    <col min="3" max="3" width="26.77734375" style="16" customWidth="1"/>
    <col min="4" max="4" width="12" style="5" customWidth="1"/>
    <col min="5" max="5" width="8.88671875" style="54" customWidth="1"/>
    <col min="6" max="6" width="28.44140625" style="54" customWidth="1"/>
    <col min="7" max="7" width="16.21875" style="54" customWidth="1"/>
    <col min="8" max="8" width="28.21875" style="54" customWidth="1"/>
    <col min="9" max="9" width="9.77734375" style="54" customWidth="1"/>
    <col min="10" max="10" width="7.44140625" style="54" bestFit="1" customWidth="1"/>
    <col min="11" max="11" width="16.77734375" style="176" customWidth="1"/>
    <col min="12" max="12" width="14.44140625" style="54" customWidth="1"/>
    <col min="13" max="13" width="31.44140625" style="54" customWidth="1"/>
    <col min="14" max="14" width="12.21875" style="54" customWidth="1"/>
    <col min="15" max="20" width="9.77734375" style="54" customWidth="1"/>
    <col min="21" max="21" width="28.44140625" bestFit="1" customWidth="1"/>
    <col min="22" max="22" width="12.77734375" customWidth="1"/>
    <col min="23" max="23" width="8.77734375" customWidth="1"/>
    <col min="28" max="29" width="9.21875" customWidth="1"/>
  </cols>
  <sheetData>
    <row r="1" spans="1:22" ht="24">
      <c r="A1" s="94" t="s">
        <v>365</v>
      </c>
      <c r="B1" s="177"/>
    </row>
    <row r="2" spans="1:22">
      <c r="A2" s="95" t="s">
        <v>366</v>
      </c>
      <c r="B2" s="95"/>
      <c r="C2" s="88" t="s">
        <v>367</v>
      </c>
      <c r="E2" s="265" t="s">
        <v>568</v>
      </c>
      <c r="F2" s="84" t="s">
        <v>368</v>
      </c>
      <c r="G2" s="84"/>
      <c r="H2" s="88" t="s">
        <v>367</v>
      </c>
      <c r="K2" s="84" t="s">
        <v>369</v>
      </c>
      <c r="L2" s="84"/>
      <c r="M2" s="88" t="s">
        <v>367</v>
      </c>
      <c r="U2" s="54"/>
      <c r="V2" s="54"/>
    </row>
    <row r="3" spans="1:22" ht="60">
      <c r="A3" s="266" t="s">
        <v>370</v>
      </c>
      <c r="B3" s="224" t="s">
        <v>371</v>
      </c>
      <c r="C3" s="247" t="s">
        <v>372</v>
      </c>
      <c r="D3" s="55" t="s">
        <v>373</v>
      </c>
      <c r="E3" s="265"/>
      <c r="F3" s="8" t="s">
        <v>374</v>
      </c>
      <c r="G3" s="232" t="s">
        <v>375</v>
      </c>
      <c r="H3" s="247" t="s">
        <v>376</v>
      </c>
      <c r="I3" s="55" t="s">
        <v>373</v>
      </c>
      <c r="J3" s="267"/>
      <c r="K3" s="8" t="s">
        <v>377</v>
      </c>
      <c r="L3" s="236" t="s">
        <v>378</v>
      </c>
      <c r="M3" s="252" t="s">
        <v>379</v>
      </c>
      <c r="N3" s="55" t="s">
        <v>373</v>
      </c>
      <c r="U3" s="54"/>
      <c r="V3" s="54"/>
    </row>
    <row r="4" spans="1:22">
      <c r="A4" s="268" t="s">
        <v>380</v>
      </c>
      <c r="B4" s="225" t="s">
        <v>381</v>
      </c>
      <c r="C4" s="269" t="s">
        <v>569</v>
      </c>
      <c r="D4" s="115"/>
      <c r="E4" s="265"/>
      <c r="F4" s="162" t="s">
        <v>380</v>
      </c>
      <c r="G4" s="233"/>
      <c r="H4" s="270" t="s">
        <v>569</v>
      </c>
      <c r="I4" s="115"/>
      <c r="J4" s="267"/>
      <c r="K4" s="271" t="s">
        <v>380</v>
      </c>
      <c r="L4" s="272"/>
      <c r="M4" s="273" t="s">
        <v>7</v>
      </c>
      <c r="N4" s="274"/>
      <c r="U4" s="54"/>
      <c r="V4" s="54"/>
    </row>
    <row r="5" spans="1:22" ht="15" thickBot="1">
      <c r="A5" s="275" t="s">
        <v>382</v>
      </c>
      <c r="B5" s="227" t="s">
        <v>381</v>
      </c>
      <c r="C5" s="276" t="s">
        <v>569</v>
      </c>
      <c r="D5" s="56" t="s">
        <v>7</v>
      </c>
      <c r="E5" s="265">
        <v>100</v>
      </c>
      <c r="F5" s="277" t="s">
        <v>383</v>
      </c>
      <c r="G5" s="237"/>
      <c r="H5" s="248" t="s">
        <v>569</v>
      </c>
      <c r="I5" s="56" t="s">
        <v>7</v>
      </c>
      <c r="J5" s="267">
        <v>74</v>
      </c>
      <c r="K5" s="278" t="s">
        <v>382</v>
      </c>
      <c r="L5" s="279"/>
      <c r="M5" s="280" t="s">
        <v>7</v>
      </c>
      <c r="N5" s="281" t="s">
        <v>7</v>
      </c>
      <c r="U5" s="54"/>
      <c r="V5" s="54"/>
    </row>
    <row r="6" spans="1:22" ht="15" thickBot="1">
      <c r="A6" s="275" t="s">
        <v>384</v>
      </c>
      <c r="B6" s="225" t="s">
        <v>381</v>
      </c>
      <c r="C6" s="282" t="s">
        <v>456</v>
      </c>
      <c r="D6" s="56" t="s">
        <v>7</v>
      </c>
      <c r="E6" s="265">
        <v>3147</v>
      </c>
      <c r="F6" s="277" t="s">
        <v>385</v>
      </c>
      <c r="G6" s="237"/>
      <c r="H6" s="248" t="s">
        <v>456</v>
      </c>
      <c r="I6" s="56" t="s">
        <v>7</v>
      </c>
      <c r="J6" s="267">
        <v>3342</v>
      </c>
      <c r="K6" s="278" t="s">
        <v>384</v>
      </c>
      <c r="L6" s="283"/>
      <c r="M6" s="280" t="s">
        <v>7</v>
      </c>
      <c r="N6" s="281" t="s">
        <v>7</v>
      </c>
      <c r="U6" s="54"/>
      <c r="V6" s="54"/>
    </row>
    <row r="7" spans="1:22">
      <c r="A7" s="275" t="s">
        <v>386</v>
      </c>
      <c r="B7" s="225" t="s">
        <v>381</v>
      </c>
      <c r="C7" s="269" t="s">
        <v>458</v>
      </c>
      <c r="D7" s="56" t="s">
        <v>7</v>
      </c>
      <c r="E7" s="265">
        <v>2858</v>
      </c>
      <c r="F7" s="277" t="s">
        <v>387</v>
      </c>
      <c r="G7" s="237"/>
      <c r="H7" s="248" t="s">
        <v>457</v>
      </c>
      <c r="I7" s="56" t="s">
        <v>7</v>
      </c>
      <c r="J7" s="267">
        <v>8509</v>
      </c>
      <c r="K7" s="278" t="s">
        <v>386</v>
      </c>
      <c r="L7" s="272"/>
      <c r="M7" s="280" t="s">
        <v>7</v>
      </c>
      <c r="N7" s="281" t="s">
        <v>7</v>
      </c>
      <c r="U7" s="54"/>
      <c r="V7" s="54"/>
    </row>
    <row r="8" spans="1:22">
      <c r="A8" s="275" t="s">
        <v>388</v>
      </c>
      <c r="B8" s="225" t="s">
        <v>381</v>
      </c>
      <c r="C8" s="269" t="s">
        <v>436</v>
      </c>
      <c r="D8" s="56" t="s">
        <v>7</v>
      </c>
      <c r="E8" s="265">
        <v>10932</v>
      </c>
      <c r="F8" s="277" t="s">
        <v>389</v>
      </c>
      <c r="G8" s="237"/>
      <c r="H8" s="248" t="s">
        <v>458</v>
      </c>
      <c r="I8" s="56" t="s">
        <v>7</v>
      </c>
      <c r="J8" s="267">
        <v>9842</v>
      </c>
      <c r="K8" s="278" t="s">
        <v>388</v>
      </c>
      <c r="L8" s="272"/>
      <c r="M8" s="280" t="s">
        <v>7</v>
      </c>
      <c r="N8" s="281" t="s">
        <v>7</v>
      </c>
      <c r="U8" s="54"/>
      <c r="V8" s="54"/>
    </row>
    <row r="9" spans="1:22">
      <c r="A9" s="275" t="s">
        <v>390</v>
      </c>
      <c r="B9" s="225" t="s">
        <v>381</v>
      </c>
      <c r="C9" s="269" t="s">
        <v>460</v>
      </c>
      <c r="D9" s="56" t="s">
        <v>7</v>
      </c>
      <c r="E9" s="265">
        <v>4667</v>
      </c>
      <c r="F9" s="277" t="s">
        <v>391</v>
      </c>
      <c r="G9" s="237"/>
      <c r="H9" s="248" t="s">
        <v>436</v>
      </c>
      <c r="I9" s="4"/>
      <c r="J9" s="267">
        <v>4194</v>
      </c>
      <c r="K9" s="278" t="s">
        <v>390</v>
      </c>
      <c r="L9" s="272"/>
      <c r="M9" s="280" t="s">
        <v>7</v>
      </c>
      <c r="N9" s="125"/>
      <c r="U9" s="54"/>
      <c r="V9" s="54"/>
    </row>
    <row r="10" spans="1:22" ht="51">
      <c r="A10" s="275" t="s">
        <v>394</v>
      </c>
      <c r="B10" s="225" t="s">
        <v>381</v>
      </c>
      <c r="C10" s="248" t="s">
        <v>569</v>
      </c>
      <c r="D10" s="281"/>
      <c r="E10" s="265">
        <v>1944</v>
      </c>
      <c r="F10" s="277" t="s">
        <v>395</v>
      </c>
      <c r="G10" s="237"/>
      <c r="H10" s="248" t="s">
        <v>569</v>
      </c>
      <c r="I10" s="125"/>
      <c r="J10" s="267">
        <v>145</v>
      </c>
      <c r="K10" s="284">
        <v>4194</v>
      </c>
      <c r="L10" s="285" t="s">
        <v>393</v>
      </c>
      <c r="M10" s="280" t="s">
        <v>7</v>
      </c>
      <c r="N10" s="125"/>
      <c r="U10" s="54"/>
      <c r="V10" s="54"/>
    </row>
    <row r="11" spans="1:22">
      <c r="A11" s="226" t="s">
        <v>396</v>
      </c>
      <c r="B11" s="225" t="s">
        <v>381</v>
      </c>
      <c r="C11" s="248" t="s">
        <v>569</v>
      </c>
      <c r="D11" s="4"/>
      <c r="E11" s="265">
        <v>484</v>
      </c>
      <c r="F11" s="277" t="s">
        <v>396</v>
      </c>
      <c r="G11" s="234"/>
      <c r="H11" s="248" t="s">
        <v>569</v>
      </c>
      <c r="I11" s="4"/>
      <c r="J11" s="267">
        <v>484</v>
      </c>
      <c r="K11" s="278" t="s">
        <v>394</v>
      </c>
      <c r="L11" s="272"/>
      <c r="M11" s="280" t="s">
        <v>7</v>
      </c>
      <c r="N11" s="125"/>
      <c r="U11" s="54"/>
      <c r="V11" s="54"/>
    </row>
    <row r="12" spans="1:22">
      <c r="A12" s="286">
        <v>5</v>
      </c>
      <c r="B12" s="287">
        <v>0</v>
      </c>
      <c r="C12" s="288" t="s">
        <v>569</v>
      </c>
      <c r="D12" s="4"/>
      <c r="E12" s="265">
        <v>60</v>
      </c>
      <c r="F12" s="286">
        <v>5</v>
      </c>
      <c r="G12" s="287">
        <v>0</v>
      </c>
      <c r="H12" s="288" t="s">
        <v>569</v>
      </c>
      <c r="I12" s="4"/>
      <c r="J12" s="267">
        <v>135</v>
      </c>
      <c r="K12" s="278" t="s">
        <v>396</v>
      </c>
      <c r="L12" s="272"/>
      <c r="M12" s="280" t="s">
        <v>7</v>
      </c>
      <c r="N12" s="125"/>
      <c r="U12" s="54"/>
      <c r="V12" s="54"/>
    </row>
    <row r="13" spans="1:22">
      <c r="A13" s="286">
        <v>5</v>
      </c>
      <c r="B13" s="289" t="s">
        <v>570</v>
      </c>
      <c r="C13" s="248" t="s">
        <v>456</v>
      </c>
      <c r="D13" s="217"/>
      <c r="E13" s="265">
        <v>384</v>
      </c>
      <c r="F13" s="286">
        <v>5</v>
      </c>
      <c r="G13" s="289" t="s">
        <v>570</v>
      </c>
      <c r="H13" s="248" t="s">
        <v>456</v>
      </c>
      <c r="I13" s="217"/>
      <c r="J13" s="267">
        <v>1148</v>
      </c>
      <c r="K13" s="278"/>
      <c r="L13" s="290"/>
      <c r="M13" s="280"/>
      <c r="N13" s="291"/>
      <c r="U13" s="54"/>
      <c r="V13" s="54"/>
    </row>
    <row r="14" spans="1:22">
      <c r="A14" s="286">
        <v>5</v>
      </c>
      <c r="B14" s="289" t="s">
        <v>571</v>
      </c>
      <c r="C14" s="248" t="s">
        <v>457</v>
      </c>
      <c r="D14" s="217"/>
      <c r="E14" s="265">
        <v>400</v>
      </c>
      <c r="F14" s="286">
        <v>5</v>
      </c>
      <c r="G14" s="289" t="s">
        <v>571</v>
      </c>
      <c r="H14" s="248" t="s">
        <v>457</v>
      </c>
      <c r="I14" s="217"/>
      <c r="J14" s="267">
        <v>4384</v>
      </c>
      <c r="K14" s="278"/>
      <c r="L14" s="290"/>
      <c r="M14" s="280"/>
      <c r="N14" s="291"/>
      <c r="U14" s="54"/>
      <c r="V14" s="54"/>
    </row>
    <row r="15" spans="1:22">
      <c r="A15" s="286">
        <v>5</v>
      </c>
      <c r="B15" s="289" t="s">
        <v>572</v>
      </c>
      <c r="C15" s="248" t="s">
        <v>458</v>
      </c>
      <c r="D15" s="217"/>
      <c r="E15" s="265">
        <v>1127</v>
      </c>
      <c r="F15" s="286">
        <v>5</v>
      </c>
      <c r="G15" s="289" t="s">
        <v>572</v>
      </c>
      <c r="H15" s="248" t="s">
        <v>458</v>
      </c>
      <c r="I15" s="217"/>
      <c r="J15" s="267">
        <v>7693</v>
      </c>
      <c r="K15" s="278"/>
      <c r="L15" s="290"/>
      <c r="M15" s="280"/>
      <c r="N15" s="291"/>
      <c r="U15" s="54"/>
      <c r="V15" s="54"/>
    </row>
    <row r="16" spans="1:22">
      <c r="A16" s="286">
        <v>5</v>
      </c>
      <c r="B16" s="289" t="s">
        <v>573</v>
      </c>
      <c r="C16" s="248" t="s">
        <v>436</v>
      </c>
      <c r="D16" s="217"/>
      <c r="E16" s="265">
        <v>3947</v>
      </c>
      <c r="F16" s="286">
        <v>5</v>
      </c>
      <c r="G16" s="289" t="s">
        <v>573</v>
      </c>
      <c r="H16" s="248" t="s">
        <v>436</v>
      </c>
      <c r="I16" s="217"/>
      <c r="J16" s="267">
        <v>10279</v>
      </c>
      <c r="K16" s="278"/>
      <c r="L16" s="290"/>
      <c r="M16" s="280"/>
      <c r="N16" s="291"/>
      <c r="U16" s="54"/>
      <c r="V16" s="54"/>
    </row>
    <row r="17" spans="1:24">
      <c r="A17" s="286">
        <v>5</v>
      </c>
      <c r="B17" s="289" t="s">
        <v>574</v>
      </c>
      <c r="C17" s="248" t="s">
        <v>459</v>
      </c>
      <c r="D17" s="217"/>
      <c r="E17" s="265">
        <v>5162</v>
      </c>
      <c r="F17" s="286">
        <v>5</v>
      </c>
      <c r="G17" s="289" t="s">
        <v>574</v>
      </c>
      <c r="H17" s="248" t="s">
        <v>459</v>
      </c>
      <c r="I17" s="217"/>
      <c r="J17" s="267">
        <v>3912</v>
      </c>
      <c r="K17" s="278"/>
      <c r="L17" s="290"/>
      <c r="M17" s="280"/>
      <c r="N17" s="291"/>
      <c r="U17" s="54"/>
      <c r="V17" s="54"/>
    </row>
    <row r="18" spans="1:24">
      <c r="A18" s="286">
        <v>5</v>
      </c>
      <c r="B18" s="289" t="s">
        <v>575</v>
      </c>
      <c r="C18" s="248" t="s">
        <v>460</v>
      </c>
      <c r="D18" s="217"/>
      <c r="E18" s="265">
        <v>4907</v>
      </c>
      <c r="F18" s="286">
        <v>5</v>
      </c>
      <c r="G18" s="289" t="s">
        <v>575</v>
      </c>
      <c r="H18" s="248" t="s">
        <v>460</v>
      </c>
      <c r="I18" s="217"/>
      <c r="J18" s="267">
        <v>1390</v>
      </c>
      <c r="K18" s="278"/>
      <c r="L18" s="290"/>
      <c r="M18" s="280"/>
      <c r="N18" s="291"/>
      <c r="U18" s="54"/>
      <c r="V18" s="54"/>
    </row>
    <row r="19" spans="1:24">
      <c r="A19" s="286">
        <v>5</v>
      </c>
      <c r="B19" s="289" t="s">
        <v>576</v>
      </c>
      <c r="C19" s="248" t="s">
        <v>230</v>
      </c>
      <c r="D19" s="217"/>
      <c r="E19" s="265">
        <v>3181</v>
      </c>
      <c r="F19" s="286">
        <v>5</v>
      </c>
      <c r="G19" s="289" t="s">
        <v>576</v>
      </c>
      <c r="H19" s="248" t="s">
        <v>230</v>
      </c>
      <c r="I19" s="217"/>
      <c r="J19" s="267">
        <v>443</v>
      </c>
      <c r="K19" s="278"/>
      <c r="L19" s="290"/>
      <c r="M19" s="280"/>
      <c r="N19" s="291"/>
      <c r="U19" s="54"/>
      <c r="V19" s="54"/>
    </row>
    <row r="20" spans="1:24" ht="15" thickBot="1">
      <c r="A20" s="286">
        <v>5</v>
      </c>
      <c r="B20" s="292" t="s">
        <v>577</v>
      </c>
      <c r="C20" s="248" t="s">
        <v>461</v>
      </c>
      <c r="D20" s="217"/>
      <c r="E20" s="265">
        <v>13768</v>
      </c>
      <c r="F20" s="293">
        <v>5</v>
      </c>
      <c r="G20" s="292" t="s">
        <v>577</v>
      </c>
      <c r="H20" s="248" t="s">
        <v>461</v>
      </c>
      <c r="I20" s="217"/>
      <c r="J20" s="267">
        <v>1094</v>
      </c>
      <c r="K20" s="278"/>
      <c r="L20" s="290"/>
      <c r="M20" s="280"/>
      <c r="N20" s="291"/>
      <c r="U20" s="54"/>
      <c r="V20" s="54"/>
    </row>
    <row r="21" spans="1:24">
      <c r="A21" s="97"/>
      <c r="B21" s="230"/>
      <c r="C21" s="248"/>
      <c r="D21" s="294" t="s">
        <v>578</v>
      </c>
      <c r="E21" s="295">
        <f>SUM(E4:E20)</f>
        <v>57068</v>
      </c>
      <c r="F21" s="97"/>
      <c r="G21" s="235"/>
      <c r="H21" s="248"/>
      <c r="I21" s="294" t="s">
        <v>578</v>
      </c>
      <c r="J21" s="295">
        <f>SUM(J4:J20)</f>
        <v>57068</v>
      </c>
      <c r="K21" s="97"/>
      <c r="L21" s="238"/>
      <c r="M21" s="253" t="s">
        <v>381</v>
      </c>
      <c r="N21" s="217"/>
      <c r="U21" s="54"/>
      <c r="V21" s="54"/>
    </row>
    <row r="22" spans="1:24">
      <c r="A22" s="206" t="s">
        <v>397</v>
      </c>
      <c r="B22" s="231" t="s">
        <v>381</v>
      </c>
      <c r="C22" s="249"/>
      <c r="D22" s="207" t="s">
        <v>381</v>
      </c>
      <c r="E22" s="296"/>
      <c r="F22" s="206" t="s">
        <v>397</v>
      </c>
      <c r="G22" s="231" t="s">
        <v>381</v>
      </c>
      <c r="H22" s="249"/>
      <c r="I22" s="207" t="s">
        <v>381</v>
      </c>
      <c r="J22" s="267"/>
      <c r="K22" s="206" t="s">
        <v>397</v>
      </c>
      <c r="L22" s="231" t="s">
        <v>381</v>
      </c>
      <c r="M22" s="254"/>
      <c r="N22" s="211" t="s">
        <v>381</v>
      </c>
      <c r="U22" s="54"/>
      <c r="V22" s="54"/>
    </row>
    <row r="23" spans="1:24">
      <c r="A23" s="208" t="s">
        <v>398</v>
      </c>
      <c r="B23" s="227" t="s">
        <v>381</v>
      </c>
      <c r="C23" s="250"/>
      <c r="D23" s="209" t="s">
        <v>381</v>
      </c>
      <c r="E23" s="296"/>
      <c r="F23" s="208" t="s">
        <v>398</v>
      </c>
      <c r="G23" s="227" t="s">
        <v>381</v>
      </c>
      <c r="H23" s="250"/>
      <c r="I23" s="209" t="s">
        <v>381</v>
      </c>
      <c r="J23" s="267"/>
      <c r="K23" s="208" t="s">
        <v>398</v>
      </c>
      <c r="L23" s="227" t="s">
        <v>381</v>
      </c>
      <c r="M23" s="250"/>
      <c r="N23" s="209" t="s">
        <v>381</v>
      </c>
    </row>
    <row r="24" spans="1:24">
      <c r="A24" s="208" t="s">
        <v>399</v>
      </c>
      <c r="B24" s="227" t="s">
        <v>381</v>
      </c>
      <c r="C24" s="250"/>
      <c r="D24" s="209" t="s">
        <v>381</v>
      </c>
      <c r="E24" s="5"/>
      <c r="F24" s="208" t="s">
        <v>400</v>
      </c>
      <c r="G24" s="227" t="s">
        <v>381</v>
      </c>
      <c r="H24" s="250"/>
      <c r="I24" s="209" t="s">
        <v>381</v>
      </c>
      <c r="J24" s="267"/>
      <c r="K24" s="208" t="s">
        <v>399</v>
      </c>
      <c r="L24" s="227" t="s">
        <v>381</v>
      </c>
      <c r="M24" s="250"/>
      <c r="N24" s="209" t="s">
        <v>381</v>
      </c>
      <c r="U24" s="54"/>
      <c r="V24" s="54"/>
    </row>
    <row r="25" spans="1:24">
      <c r="A25" s="208" t="s">
        <v>401</v>
      </c>
      <c r="B25" s="227" t="s">
        <v>381</v>
      </c>
      <c r="C25" s="250"/>
      <c r="D25" s="209" t="s">
        <v>381</v>
      </c>
      <c r="E25" s="5"/>
      <c r="F25" s="208" t="s">
        <v>402</v>
      </c>
      <c r="G25" s="227" t="s">
        <v>381</v>
      </c>
      <c r="H25" s="250"/>
      <c r="I25" s="209" t="s">
        <v>381</v>
      </c>
      <c r="J25" s="267"/>
      <c r="K25" s="208" t="s">
        <v>401</v>
      </c>
      <c r="L25" s="227" t="s">
        <v>381</v>
      </c>
      <c r="M25" s="250"/>
      <c r="N25" s="209" t="s">
        <v>381</v>
      </c>
      <c r="U25" s="54"/>
      <c r="V25" s="54"/>
      <c r="W25" s="54"/>
      <c r="X25" s="54"/>
    </row>
    <row r="26" spans="1:24">
      <c r="A26" s="208" t="s">
        <v>403</v>
      </c>
      <c r="B26" s="227" t="s">
        <v>381</v>
      </c>
      <c r="C26" s="250"/>
      <c r="D26" s="209" t="s">
        <v>381</v>
      </c>
      <c r="F26" s="208" t="s">
        <v>404</v>
      </c>
      <c r="G26" s="227" t="s">
        <v>381</v>
      </c>
      <c r="H26" s="250"/>
      <c r="I26" s="209" t="s">
        <v>381</v>
      </c>
      <c r="J26" s="267"/>
      <c r="K26" s="208" t="s">
        <v>403</v>
      </c>
      <c r="L26" s="227" t="s">
        <v>381</v>
      </c>
      <c r="M26" s="250"/>
      <c r="N26" s="209" t="s">
        <v>381</v>
      </c>
      <c r="U26" s="54"/>
      <c r="V26" s="54"/>
      <c r="W26" s="54"/>
    </row>
    <row r="27" spans="1:24">
      <c r="A27" s="208" t="s">
        <v>405</v>
      </c>
      <c r="B27" s="227" t="s">
        <v>381</v>
      </c>
      <c r="C27" s="250"/>
      <c r="D27" s="209" t="s">
        <v>381</v>
      </c>
      <c r="F27" s="208" t="s">
        <v>406</v>
      </c>
      <c r="G27" s="227" t="s">
        <v>381</v>
      </c>
      <c r="H27" s="250"/>
      <c r="I27" s="209" t="s">
        <v>381</v>
      </c>
      <c r="J27" s="267"/>
      <c r="K27" s="208" t="s">
        <v>405</v>
      </c>
      <c r="L27" s="227" t="s">
        <v>381</v>
      </c>
      <c r="M27" s="250"/>
      <c r="N27" s="209" t="s">
        <v>381</v>
      </c>
      <c r="U27" s="54"/>
      <c r="V27" s="54"/>
      <c r="W27" s="54"/>
    </row>
    <row r="28" spans="1:24">
      <c r="A28" s="210" t="s">
        <v>407</v>
      </c>
      <c r="B28" s="227" t="s">
        <v>381</v>
      </c>
      <c r="C28" s="251"/>
      <c r="D28" s="209" t="s">
        <v>381</v>
      </c>
      <c r="F28" s="210" t="s">
        <v>408</v>
      </c>
      <c r="G28" s="227" t="s">
        <v>381</v>
      </c>
      <c r="H28" s="251"/>
      <c r="I28" s="209" t="s">
        <v>381</v>
      </c>
      <c r="J28" s="267"/>
      <c r="K28" s="210" t="s">
        <v>409</v>
      </c>
      <c r="L28" s="227" t="s">
        <v>381</v>
      </c>
      <c r="M28" s="251"/>
      <c r="N28" s="209" t="s">
        <v>381</v>
      </c>
      <c r="U28" s="54"/>
      <c r="V28" s="54"/>
      <c r="W28" s="54"/>
    </row>
    <row r="29" spans="1:24">
      <c r="A29" s="208" t="s">
        <v>410</v>
      </c>
      <c r="B29" s="227" t="s">
        <v>381</v>
      </c>
      <c r="C29" s="250"/>
      <c r="D29" s="209" t="s">
        <v>381</v>
      </c>
      <c r="F29" s="208" t="s">
        <v>410</v>
      </c>
      <c r="G29" s="227" t="s">
        <v>381</v>
      </c>
      <c r="H29" s="250"/>
      <c r="I29" s="209" t="s">
        <v>381</v>
      </c>
      <c r="J29" s="267"/>
      <c r="K29" s="208" t="s">
        <v>410</v>
      </c>
      <c r="L29" s="227" t="s">
        <v>381</v>
      </c>
      <c r="M29" s="250"/>
      <c r="N29" s="209" t="s">
        <v>381</v>
      </c>
      <c r="U29" s="54"/>
      <c r="V29" s="54"/>
      <c r="W29" s="54"/>
    </row>
    <row r="30" spans="1:24">
      <c r="A30" s="208" t="s">
        <v>411</v>
      </c>
      <c r="B30" s="227" t="s">
        <v>381</v>
      </c>
      <c r="C30" s="250"/>
      <c r="D30" s="209" t="s">
        <v>381</v>
      </c>
      <c r="F30" s="208" t="s">
        <v>381</v>
      </c>
      <c r="G30" s="227" t="s">
        <v>381</v>
      </c>
      <c r="H30" s="250"/>
      <c r="I30" s="209" t="s">
        <v>381</v>
      </c>
      <c r="J30" s="267"/>
      <c r="K30" s="208" t="s">
        <v>381</v>
      </c>
      <c r="L30" s="227" t="s">
        <v>381</v>
      </c>
      <c r="M30" s="250"/>
      <c r="N30" s="209" t="s">
        <v>381</v>
      </c>
      <c r="U30" s="54"/>
      <c r="V30" s="54"/>
      <c r="W30" s="54"/>
    </row>
    <row r="31" spans="1:24">
      <c r="J31" s="297"/>
      <c r="K31" s="16"/>
      <c r="L31" s="16"/>
      <c r="M31" s="5"/>
      <c r="U31" s="54"/>
      <c r="V31" s="54"/>
      <c r="W31" s="54"/>
    </row>
    <row r="32" spans="1:24">
      <c r="C32" s="84" t="s">
        <v>412</v>
      </c>
      <c r="G32" s="84" t="s">
        <v>413</v>
      </c>
      <c r="H32" s="84"/>
      <c r="I32" s="84"/>
      <c r="J32" s="298"/>
      <c r="K32" s="54"/>
      <c r="L32" s="84" t="s">
        <v>414</v>
      </c>
      <c r="M32" s="176"/>
      <c r="U32" s="54"/>
      <c r="V32" s="54"/>
      <c r="W32" s="54"/>
    </row>
    <row r="33" spans="1:23" ht="72">
      <c r="A33" s="80" t="s">
        <v>415</v>
      </c>
      <c r="B33" s="239" t="s">
        <v>416</v>
      </c>
      <c r="C33" s="247" t="s">
        <v>417</v>
      </c>
      <c r="D33" s="55" t="s">
        <v>373</v>
      </c>
      <c r="F33" s="80" t="s">
        <v>418</v>
      </c>
      <c r="G33" s="239" t="s">
        <v>416</v>
      </c>
      <c r="H33" s="247" t="s">
        <v>419</v>
      </c>
      <c r="I33" s="55" t="s">
        <v>373</v>
      </c>
      <c r="J33" s="299"/>
      <c r="K33" s="80" t="s">
        <v>420</v>
      </c>
      <c r="L33" s="239"/>
      <c r="M33" s="255"/>
      <c r="N33" s="55" t="s">
        <v>421</v>
      </c>
      <c r="O33" s="55" t="s">
        <v>373</v>
      </c>
      <c r="U33" s="54"/>
      <c r="V33" s="54"/>
      <c r="W33" s="54"/>
    </row>
    <row r="34" spans="1:23">
      <c r="A34" s="271" t="s">
        <v>380</v>
      </c>
      <c r="B34" s="300"/>
      <c r="C34" s="301"/>
      <c r="D34" s="281" t="s">
        <v>7</v>
      </c>
      <c r="F34" s="116" t="s">
        <v>380</v>
      </c>
      <c r="G34" s="241"/>
      <c r="H34" s="256" t="s">
        <v>569</v>
      </c>
      <c r="I34" s="96"/>
      <c r="J34" s="267"/>
      <c r="K34" s="271" t="s">
        <v>380</v>
      </c>
      <c r="L34" s="300"/>
      <c r="M34" s="302"/>
      <c r="N34" s="274"/>
      <c r="O34" s="274"/>
      <c r="U34" s="54"/>
      <c r="V34" s="54"/>
      <c r="W34" s="54"/>
    </row>
    <row r="35" spans="1:23">
      <c r="A35" s="278" t="s">
        <v>382</v>
      </c>
      <c r="B35" s="303"/>
      <c r="C35" s="304" t="s">
        <v>7</v>
      </c>
      <c r="D35" s="281" t="s">
        <v>7</v>
      </c>
      <c r="F35" s="97" t="s">
        <v>382</v>
      </c>
      <c r="G35" s="242" t="s">
        <v>7</v>
      </c>
      <c r="H35" s="256" t="s">
        <v>569</v>
      </c>
      <c r="I35" s="96"/>
      <c r="J35" s="267">
        <v>84</v>
      </c>
      <c r="K35" s="278" t="s">
        <v>382</v>
      </c>
      <c r="L35" s="303"/>
      <c r="M35" s="305"/>
      <c r="N35" s="124" t="s">
        <v>7</v>
      </c>
      <c r="O35" s="281" t="s">
        <v>7</v>
      </c>
      <c r="U35" s="54"/>
      <c r="V35" s="54"/>
      <c r="W35" s="54"/>
    </row>
    <row r="36" spans="1:23">
      <c r="A36" s="278" t="s">
        <v>384</v>
      </c>
      <c r="B36" s="303"/>
      <c r="C36" s="304" t="s">
        <v>7</v>
      </c>
      <c r="D36" s="281" t="s">
        <v>7</v>
      </c>
      <c r="E36" s="212"/>
      <c r="F36" s="97" t="s">
        <v>384</v>
      </c>
      <c r="G36" s="242" t="s">
        <v>7</v>
      </c>
      <c r="H36" s="256" t="s">
        <v>456</v>
      </c>
      <c r="I36" s="96"/>
      <c r="J36" s="267">
        <v>2288</v>
      </c>
      <c r="K36" s="278" t="s">
        <v>384</v>
      </c>
      <c r="L36" s="303"/>
      <c r="M36" s="305"/>
      <c r="N36" s="124" t="s">
        <v>7</v>
      </c>
      <c r="O36" s="281" t="s">
        <v>7</v>
      </c>
      <c r="U36" s="54"/>
      <c r="V36" s="54"/>
      <c r="W36" s="54"/>
    </row>
    <row r="37" spans="1:23">
      <c r="A37" s="278" t="s">
        <v>386</v>
      </c>
      <c r="B37" s="303"/>
      <c r="C37" s="304" t="s">
        <v>7</v>
      </c>
      <c r="D37" s="281" t="s">
        <v>7</v>
      </c>
      <c r="E37" s="212"/>
      <c r="F37" s="97" t="s">
        <v>386</v>
      </c>
      <c r="G37" s="242" t="s">
        <v>7</v>
      </c>
      <c r="H37" s="256" t="s">
        <v>458</v>
      </c>
      <c r="I37" s="96"/>
      <c r="J37" s="267">
        <v>2610</v>
      </c>
      <c r="K37" s="278" t="s">
        <v>386</v>
      </c>
      <c r="L37" s="303"/>
      <c r="M37" s="305"/>
      <c r="N37" s="124" t="s">
        <v>7</v>
      </c>
      <c r="O37" s="281" t="s">
        <v>7</v>
      </c>
      <c r="U37" s="54"/>
      <c r="V37" s="54"/>
      <c r="W37" s="54"/>
    </row>
    <row r="38" spans="1:23">
      <c r="A38" s="278" t="s">
        <v>388</v>
      </c>
      <c r="B38" s="303"/>
      <c r="C38" s="304" t="s">
        <v>7</v>
      </c>
      <c r="D38" s="125"/>
      <c r="E38" s="212"/>
      <c r="F38" s="97" t="s">
        <v>388</v>
      </c>
      <c r="G38" s="242" t="s">
        <v>7</v>
      </c>
      <c r="H38" s="256" t="s">
        <v>436</v>
      </c>
      <c r="I38" s="96"/>
      <c r="J38" s="267">
        <v>11277</v>
      </c>
      <c r="K38" s="278" t="s">
        <v>388</v>
      </c>
      <c r="L38" s="303"/>
      <c r="M38" s="305"/>
      <c r="N38" s="124" t="s">
        <v>7</v>
      </c>
      <c r="O38" s="281" t="s">
        <v>7</v>
      </c>
      <c r="U38" s="54"/>
      <c r="V38" s="54"/>
      <c r="W38" s="54"/>
    </row>
    <row r="39" spans="1:23">
      <c r="A39" s="278" t="s">
        <v>390</v>
      </c>
      <c r="B39" s="303"/>
      <c r="C39" s="306"/>
      <c r="D39" s="125"/>
      <c r="E39" s="212"/>
      <c r="F39" s="97" t="s">
        <v>390</v>
      </c>
      <c r="G39" s="234"/>
      <c r="H39" s="256" t="s">
        <v>460</v>
      </c>
      <c r="I39" s="96"/>
      <c r="J39" s="267">
        <v>6622</v>
      </c>
      <c r="K39" s="278" t="s">
        <v>390</v>
      </c>
      <c r="L39" s="303"/>
      <c r="M39" s="305"/>
      <c r="N39" s="124"/>
      <c r="O39" s="125"/>
      <c r="U39" s="54"/>
      <c r="V39" s="54"/>
      <c r="W39" s="54"/>
    </row>
    <row r="40" spans="1:23" ht="51">
      <c r="A40" s="155" t="s">
        <v>392</v>
      </c>
      <c r="B40" s="285" t="s">
        <v>393</v>
      </c>
      <c r="C40" s="306"/>
      <c r="D40" s="125"/>
      <c r="E40" s="212"/>
      <c r="F40" s="277" t="s">
        <v>394</v>
      </c>
      <c r="G40" s="240"/>
      <c r="H40" s="307" t="s">
        <v>569</v>
      </c>
      <c r="I40" s="96"/>
      <c r="J40" s="265">
        <v>224</v>
      </c>
      <c r="K40" s="155" t="s">
        <v>392</v>
      </c>
      <c r="L40" s="285" t="s">
        <v>393</v>
      </c>
      <c r="M40" s="308"/>
      <c r="N40" s="124"/>
      <c r="O40" s="125"/>
      <c r="U40" s="54"/>
      <c r="V40" s="54"/>
      <c r="W40" s="54"/>
    </row>
    <row r="41" spans="1:23">
      <c r="A41" s="278" t="s">
        <v>394</v>
      </c>
      <c r="B41" s="303"/>
      <c r="C41" s="306"/>
      <c r="D41" s="125"/>
      <c r="E41" s="212"/>
      <c r="F41" s="97" t="s">
        <v>396</v>
      </c>
      <c r="G41" s="240"/>
      <c r="H41" s="256" t="s">
        <v>569</v>
      </c>
      <c r="I41" s="96"/>
      <c r="J41" s="265">
        <v>484</v>
      </c>
      <c r="K41" s="278" t="s">
        <v>394</v>
      </c>
      <c r="L41" s="303"/>
      <c r="M41" s="305"/>
      <c r="N41" s="309"/>
      <c r="O41" s="310"/>
      <c r="U41" s="54"/>
      <c r="V41" s="54"/>
      <c r="W41" s="54"/>
    </row>
    <row r="42" spans="1:23">
      <c r="A42" s="278" t="s">
        <v>396</v>
      </c>
      <c r="B42" s="311"/>
      <c r="C42" s="306"/>
      <c r="D42" s="125"/>
      <c r="E42" s="212"/>
      <c r="F42" s="286">
        <v>5</v>
      </c>
      <c r="G42" s="289">
        <v>0</v>
      </c>
      <c r="H42" s="248" t="s">
        <v>569</v>
      </c>
      <c r="I42" s="96"/>
      <c r="J42" s="265">
        <v>64</v>
      </c>
      <c r="K42" s="278" t="s">
        <v>396</v>
      </c>
      <c r="L42" s="303"/>
      <c r="M42" s="305"/>
      <c r="N42" s="309"/>
      <c r="O42" s="310"/>
      <c r="U42" s="54"/>
    </row>
    <row r="43" spans="1:23">
      <c r="A43" s="312"/>
      <c r="B43" s="313"/>
      <c r="C43" s="314"/>
      <c r="D43" s="315"/>
      <c r="E43" s="212"/>
      <c r="F43" s="286">
        <v>5</v>
      </c>
      <c r="G43" s="289" t="s">
        <v>570</v>
      </c>
      <c r="H43" s="248" t="s">
        <v>456</v>
      </c>
      <c r="I43" s="96"/>
      <c r="J43" s="267">
        <v>286</v>
      </c>
      <c r="K43" s="278"/>
      <c r="L43" s="303"/>
      <c r="M43" s="305"/>
      <c r="N43" s="309"/>
      <c r="O43" s="310"/>
    </row>
    <row r="44" spans="1:23">
      <c r="A44" s="312"/>
      <c r="B44" s="313"/>
      <c r="C44" s="314"/>
      <c r="D44" s="315"/>
      <c r="E44" s="212"/>
      <c r="F44" s="286">
        <v>5</v>
      </c>
      <c r="G44" s="289" t="s">
        <v>571</v>
      </c>
      <c r="H44" s="248" t="s">
        <v>457</v>
      </c>
      <c r="I44" s="96"/>
      <c r="J44" s="267">
        <v>309</v>
      </c>
      <c r="K44" s="278"/>
      <c r="L44" s="303"/>
      <c r="M44" s="305"/>
      <c r="N44" s="309"/>
      <c r="O44" s="310"/>
    </row>
    <row r="45" spans="1:23">
      <c r="A45" s="312"/>
      <c r="B45" s="313"/>
      <c r="C45" s="314"/>
      <c r="D45" s="315"/>
      <c r="F45" s="286">
        <v>5</v>
      </c>
      <c r="G45" s="289" t="s">
        <v>572</v>
      </c>
      <c r="H45" s="248" t="s">
        <v>458</v>
      </c>
      <c r="I45" s="96"/>
      <c r="J45" s="267">
        <v>827</v>
      </c>
      <c r="K45" s="278"/>
      <c r="L45" s="303"/>
      <c r="M45" s="305"/>
      <c r="N45" s="309"/>
      <c r="O45" s="310"/>
    </row>
    <row r="46" spans="1:23">
      <c r="A46" s="312"/>
      <c r="B46" s="313"/>
      <c r="C46" s="314"/>
      <c r="D46" s="315"/>
      <c r="F46" s="286">
        <v>5</v>
      </c>
      <c r="G46" s="289" t="s">
        <v>573</v>
      </c>
      <c r="H46" s="248" t="s">
        <v>436</v>
      </c>
      <c r="I46" s="96"/>
      <c r="J46" s="267">
        <v>3236</v>
      </c>
      <c r="K46" s="278"/>
      <c r="L46" s="303"/>
      <c r="M46" s="305"/>
      <c r="N46" s="309"/>
      <c r="O46" s="310"/>
    </row>
    <row r="47" spans="1:23">
      <c r="A47" s="312"/>
      <c r="B47" s="313"/>
      <c r="C47" s="314"/>
      <c r="D47" s="315"/>
      <c r="F47" s="286">
        <v>5</v>
      </c>
      <c r="G47" s="289" t="s">
        <v>574</v>
      </c>
      <c r="H47" s="248" t="s">
        <v>459</v>
      </c>
      <c r="I47" s="96"/>
      <c r="J47" s="267">
        <v>4601</v>
      </c>
      <c r="K47" s="278"/>
      <c r="L47" s="303"/>
      <c r="M47" s="305"/>
      <c r="N47" s="309"/>
      <c r="O47" s="310"/>
    </row>
    <row r="48" spans="1:23">
      <c r="A48" s="312"/>
      <c r="B48" s="313"/>
      <c r="C48" s="314"/>
      <c r="D48" s="315"/>
      <c r="F48" s="286">
        <v>5</v>
      </c>
      <c r="G48" s="289" t="s">
        <v>575</v>
      </c>
      <c r="H48" s="248" t="s">
        <v>460</v>
      </c>
      <c r="I48" s="96"/>
      <c r="J48" s="267">
        <v>4581</v>
      </c>
      <c r="K48" s="278"/>
      <c r="L48" s="303"/>
      <c r="M48" s="305"/>
      <c r="N48" s="309"/>
      <c r="O48" s="310"/>
    </row>
    <row r="49" spans="1:15">
      <c r="A49" s="312"/>
      <c r="B49" s="313"/>
      <c r="C49" s="314"/>
      <c r="D49" s="315"/>
      <c r="F49" s="286">
        <v>5</v>
      </c>
      <c r="G49" s="289" t="s">
        <v>576</v>
      </c>
      <c r="H49" s="248" t="s">
        <v>230</v>
      </c>
      <c r="I49" s="96"/>
      <c r="J49" s="267">
        <v>3095</v>
      </c>
      <c r="K49" s="278"/>
      <c r="L49" s="303"/>
      <c r="M49" s="305"/>
      <c r="N49" s="309"/>
      <c r="O49" s="310"/>
    </row>
    <row r="50" spans="1:15" ht="15" thickBot="1">
      <c r="A50" s="312"/>
      <c r="B50" s="313"/>
      <c r="C50" s="314"/>
      <c r="D50" s="315"/>
      <c r="F50" s="286">
        <v>5</v>
      </c>
      <c r="G50" s="292" t="s">
        <v>577</v>
      </c>
      <c r="H50" s="248" t="s">
        <v>461</v>
      </c>
      <c r="I50" s="96"/>
      <c r="J50" s="267">
        <v>16480</v>
      </c>
      <c r="K50" s="278"/>
      <c r="L50" s="303"/>
      <c r="M50" s="305"/>
      <c r="N50" s="309"/>
      <c r="O50" s="310"/>
    </row>
    <row r="51" spans="1:15">
      <c r="A51" s="316"/>
      <c r="B51" s="313"/>
      <c r="C51" s="314"/>
      <c r="D51" s="315"/>
      <c r="F51" s="96"/>
      <c r="G51" s="240"/>
      <c r="H51" s="256"/>
      <c r="I51" s="294" t="s">
        <v>578</v>
      </c>
      <c r="J51" s="295">
        <f>SUM(J34:J50)</f>
        <v>57068</v>
      </c>
      <c r="K51" s="310"/>
      <c r="L51" s="317"/>
      <c r="M51" s="318"/>
      <c r="N51" s="309"/>
      <c r="O51" s="310"/>
    </row>
    <row r="52" spans="1:15">
      <c r="A52" s="228" t="s">
        <v>422</v>
      </c>
      <c r="B52" s="245" t="s">
        <v>381</v>
      </c>
      <c r="C52" s="259" t="s">
        <v>381</v>
      </c>
      <c r="D52" s="228" t="s">
        <v>381</v>
      </c>
      <c r="F52" s="213" t="s">
        <v>422</v>
      </c>
      <c r="G52" s="243" t="s">
        <v>381</v>
      </c>
      <c r="H52" s="257"/>
      <c r="I52" s="214" t="s">
        <v>381</v>
      </c>
      <c r="J52" s="319"/>
      <c r="K52" s="320" t="s">
        <v>381</v>
      </c>
      <c r="L52" s="321" t="s">
        <v>381</v>
      </c>
      <c r="M52" s="322" t="s">
        <v>381</v>
      </c>
      <c r="N52" s="320" t="s">
        <v>381</v>
      </c>
      <c r="O52" s="320" t="s">
        <v>381</v>
      </c>
    </row>
    <row r="53" spans="1:15">
      <c r="A53" s="229" t="s">
        <v>398</v>
      </c>
      <c r="B53" s="246" t="s">
        <v>381</v>
      </c>
      <c r="C53" s="260" t="s">
        <v>381</v>
      </c>
      <c r="D53" s="229" t="s">
        <v>381</v>
      </c>
      <c r="F53" s="215" t="s">
        <v>398</v>
      </c>
      <c r="G53" s="244" t="s">
        <v>381</v>
      </c>
      <c r="H53" s="258"/>
      <c r="I53" s="216" t="s">
        <v>381</v>
      </c>
      <c r="J53" s="319"/>
      <c r="K53" s="323" t="s">
        <v>381</v>
      </c>
      <c r="L53" s="324" t="s">
        <v>381</v>
      </c>
      <c r="M53" s="325" t="s">
        <v>381</v>
      </c>
      <c r="N53" s="323" t="s">
        <v>381</v>
      </c>
      <c r="O53" s="323" t="s">
        <v>381</v>
      </c>
    </row>
    <row r="54" spans="1:15">
      <c r="A54" s="229" t="s">
        <v>399</v>
      </c>
      <c r="B54" s="246" t="s">
        <v>381</v>
      </c>
      <c r="C54" s="260" t="s">
        <v>381</v>
      </c>
      <c r="D54" s="229" t="s">
        <v>381</v>
      </c>
      <c r="F54" s="215" t="s">
        <v>399</v>
      </c>
      <c r="G54" s="244" t="s">
        <v>381</v>
      </c>
      <c r="H54" s="258"/>
      <c r="I54" s="216" t="s">
        <v>381</v>
      </c>
      <c r="J54" s="319"/>
      <c r="K54" s="323" t="s">
        <v>381</v>
      </c>
      <c r="L54" s="324" t="s">
        <v>381</v>
      </c>
      <c r="M54" s="325" t="s">
        <v>381</v>
      </c>
      <c r="N54" s="323" t="s">
        <v>381</v>
      </c>
      <c r="O54" s="323" t="s">
        <v>381</v>
      </c>
    </row>
    <row r="55" spans="1:15">
      <c r="A55" s="229" t="s">
        <v>401</v>
      </c>
      <c r="B55" s="246" t="s">
        <v>381</v>
      </c>
      <c r="C55" s="260" t="s">
        <v>381</v>
      </c>
      <c r="D55" s="229" t="s">
        <v>381</v>
      </c>
      <c r="F55" s="215" t="s">
        <v>401</v>
      </c>
      <c r="G55" s="244" t="s">
        <v>381</v>
      </c>
      <c r="H55" s="258"/>
      <c r="I55" s="216" t="s">
        <v>381</v>
      </c>
      <c r="J55" s="319"/>
      <c r="K55" s="323" t="s">
        <v>381</v>
      </c>
      <c r="L55" s="324" t="s">
        <v>381</v>
      </c>
      <c r="M55" s="325" t="s">
        <v>381</v>
      </c>
      <c r="N55" s="323" t="s">
        <v>381</v>
      </c>
      <c r="O55" s="323" t="s">
        <v>381</v>
      </c>
    </row>
    <row r="56" spans="1:15">
      <c r="A56" s="229" t="s">
        <v>403</v>
      </c>
      <c r="B56" s="246" t="s">
        <v>381</v>
      </c>
      <c r="C56" s="260" t="s">
        <v>381</v>
      </c>
      <c r="D56" s="229" t="s">
        <v>381</v>
      </c>
      <c r="F56" s="215" t="s">
        <v>403</v>
      </c>
      <c r="G56" s="244" t="s">
        <v>381</v>
      </c>
      <c r="H56" s="258"/>
      <c r="I56" s="216" t="s">
        <v>381</v>
      </c>
      <c r="J56" s="319"/>
      <c r="K56" s="323" t="s">
        <v>381</v>
      </c>
      <c r="L56" s="324" t="s">
        <v>381</v>
      </c>
      <c r="M56" s="325" t="s">
        <v>381</v>
      </c>
      <c r="N56" s="323" t="s">
        <v>381</v>
      </c>
      <c r="O56" s="323" t="s">
        <v>381</v>
      </c>
    </row>
    <row r="57" spans="1:15">
      <c r="A57" s="229" t="s">
        <v>405</v>
      </c>
      <c r="B57" s="246" t="s">
        <v>381</v>
      </c>
      <c r="C57" s="260" t="s">
        <v>381</v>
      </c>
      <c r="D57" s="229" t="s">
        <v>381</v>
      </c>
      <c r="F57" s="215" t="s">
        <v>405</v>
      </c>
      <c r="G57" s="244" t="s">
        <v>381</v>
      </c>
      <c r="H57" s="258"/>
      <c r="I57" s="216" t="s">
        <v>381</v>
      </c>
      <c r="J57" s="319"/>
      <c r="K57" s="323" t="s">
        <v>381</v>
      </c>
      <c r="L57" s="324" t="s">
        <v>381</v>
      </c>
      <c r="M57" s="325" t="s">
        <v>381</v>
      </c>
      <c r="N57" s="323" t="s">
        <v>381</v>
      </c>
      <c r="O57" s="323" t="s">
        <v>381</v>
      </c>
    </row>
    <row r="58" spans="1:15">
      <c r="A58" s="229" t="s">
        <v>407</v>
      </c>
      <c r="B58" s="246" t="s">
        <v>381</v>
      </c>
      <c r="C58" s="260" t="s">
        <v>381</v>
      </c>
      <c r="D58" s="229" t="s">
        <v>381</v>
      </c>
      <c r="F58" s="215" t="s">
        <v>407</v>
      </c>
      <c r="G58" s="244" t="s">
        <v>381</v>
      </c>
      <c r="H58" s="258"/>
      <c r="I58" s="216" t="s">
        <v>381</v>
      </c>
      <c r="J58" s="319"/>
      <c r="K58" s="323" t="s">
        <v>381</v>
      </c>
      <c r="L58" s="324" t="s">
        <v>381</v>
      </c>
      <c r="M58" s="325" t="s">
        <v>381</v>
      </c>
      <c r="N58" s="323" t="s">
        <v>381</v>
      </c>
      <c r="O58" s="323" t="s">
        <v>381</v>
      </c>
    </row>
    <row r="59" spans="1:15">
      <c r="A59" s="229" t="s">
        <v>410</v>
      </c>
      <c r="B59" s="246" t="s">
        <v>381</v>
      </c>
      <c r="C59" s="260" t="s">
        <v>381</v>
      </c>
      <c r="D59" s="229" t="s">
        <v>381</v>
      </c>
      <c r="F59" s="215" t="s">
        <v>410</v>
      </c>
      <c r="G59" s="244" t="s">
        <v>381</v>
      </c>
      <c r="H59" s="258"/>
      <c r="I59" s="216" t="s">
        <v>381</v>
      </c>
      <c r="J59" s="319"/>
      <c r="K59" s="323" t="s">
        <v>381</v>
      </c>
      <c r="L59" s="324" t="s">
        <v>381</v>
      </c>
      <c r="M59" s="325" t="s">
        <v>381</v>
      </c>
      <c r="N59" s="323" t="s">
        <v>381</v>
      </c>
      <c r="O59" s="323" t="s">
        <v>381</v>
      </c>
    </row>
    <row r="60" spans="1:15">
      <c r="A60" s="229" t="s">
        <v>381</v>
      </c>
      <c r="B60" s="246" t="s">
        <v>381</v>
      </c>
      <c r="C60" s="260" t="s">
        <v>381</v>
      </c>
      <c r="D60" s="229" t="s">
        <v>381</v>
      </c>
      <c r="F60" s="215" t="s">
        <v>381</v>
      </c>
      <c r="G60" s="244" t="s">
        <v>381</v>
      </c>
      <c r="H60" s="258"/>
      <c r="I60" s="216" t="s">
        <v>381</v>
      </c>
      <c r="J60" s="319"/>
      <c r="K60" s="326" t="s">
        <v>381</v>
      </c>
      <c r="L60" s="324" t="s">
        <v>381</v>
      </c>
      <c r="M60" s="325" t="s">
        <v>381</v>
      </c>
      <c r="N60" s="323" t="s">
        <v>381</v>
      </c>
      <c r="O60" s="323" t="s">
        <v>381</v>
      </c>
    </row>
    <row r="61" spans="1:15">
      <c r="C61" s="93"/>
      <c r="D61" s="93"/>
      <c r="J61" s="267"/>
    </row>
  </sheetData>
  <hyperlinks>
    <hyperlink ref="M2" location="MAPPING!K34" display="Return to Mapping" xr:uid="{440FB8FE-59DD-4538-A8E0-A405E650402B}"/>
    <hyperlink ref="H2" location="MAPPING!K33" display="Return to Mapping" xr:uid="{927D4E55-9A79-44C1-8594-023DF948E6E1}"/>
    <hyperlink ref="C2" location="MAPPING!K25" display="Return to Mapping" xr:uid="{8BA16B2A-F033-40F5-A133-36A829284C5A}"/>
  </hyperlinks>
  <pageMargins left="0.25" right="0.25" top="0.75" bottom="0.75" header="0.3" footer="0.3"/>
  <pageSetup paperSize="5" scale="85" orientation="landscape" r:id="rId1"/>
  <headerFooter>
    <oddHeader>&amp;LRefinitiv&amp;CDEMO Reverse Mapping &amp;A&amp;RNew Installations - Conversions</oddHeader>
    <oddFooter>&amp;LConfidential&amp;C&amp;D&amp;RPage &amp;P of &amp;N</oddFooter>
  </headerFooter>
  <rowBreaks count="1" manualBreakCount="1">
    <brk id="23" max="14"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
  <sheetViews>
    <sheetView zoomScaleNormal="100" workbookViewId="0">
      <selection activeCell="H15" sqref="H15"/>
    </sheetView>
  </sheetViews>
  <sheetFormatPr defaultRowHeight="14.4"/>
  <cols>
    <col min="1" max="1" width="31.33203125" customWidth="1"/>
    <col min="4" max="4" width="13.6640625" style="327" customWidth="1"/>
    <col min="5" max="5" width="31.33203125" customWidth="1"/>
    <col min="6" max="6" width="20.5546875" bestFit="1" customWidth="1"/>
    <col min="8" max="8" width="14.5546875" style="327" customWidth="1"/>
    <col min="9" max="9" width="31.33203125" customWidth="1"/>
    <col min="12" max="12" width="4.5546875" customWidth="1"/>
    <col min="13" max="13" width="19.88671875" customWidth="1"/>
    <col min="14" max="14" width="18.44140625" customWidth="1"/>
    <col min="15" max="15" width="11.109375" customWidth="1"/>
    <col min="16" max="16" width="9.33203125" customWidth="1"/>
    <col min="17" max="17" width="8.109375" customWidth="1"/>
    <col min="18" max="18" width="31.33203125" customWidth="1"/>
    <col min="22" max="22" width="31.33203125" customWidth="1"/>
  </cols>
  <sheetData>
    <row r="1" spans="1:16">
      <c r="A1" s="83" t="s">
        <v>426</v>
      </c>
    </row>
    <row r="2" spans="1:16" ht="30" customHeight="1">
      <c r="A2" t="s">
        <v>7</v>
      </c>
      <c r="B2" s="85" t="s">
        <v>366</v>
      </c>
      <c r="C2" s="88" t="s">
        <v>367</v>
      </c>
      <c r="D2" s="265" t="s">
        <v>568</v>
      </c>
      <c r="F2" s="85" t="s">
        <v>368</v>
      </c>
      <c r="G2" s="88" t="s">
        <v>367</v>
      </c>
      <c r="H2" s="265" t="s">
        <v>568</v>
      </c>
      <c r="J2" s="85" t="s">
        <v>369</v>
      </c>
      <c r="K2" s="88" t="s">
        <v>367</v>
      </c>
      <c r="M2" s="181"/>
      <c r="N2" s="181"/>
      <c r="O2" s="182" t="s">
        <v>412</v>
      </c>
      <c r="P2" s="91" t="s">
        <v>367</v>
      </c>
    </row>
    <row r="3" spans="1:16" ht="60">
      <c r="A3" s="328" t="s">
        <v>427</v>
      </c>
      <c r="B3" s="329" t="s">
        <v>428</v>
      </c>
      <c r="C3" s="55" t="s">
        <v>373</v>
      </c>
      <c r="E3" s="328" t="s">
        <v>429</v>
      </c>
      <c r="F3" s="329" t="s">
        <v>430</v>
      </c>
      <c r="G3" s="55" t="s">
        <v>373</v>
      </c>
      <c r="I3" s="80" t="s">
        <v>431</v>
      </c>
      <c r="J3" s="55" t="s">
        <v>432</v>
      </c>
      <c r="K3" s="55" t="s">
        <v>373</v>
      </c>
      <c r="M3" s="80" t="s">
        <v>433</v>
      </c>
      <c r="N3" s="80" t="s">
        <v>434</v>
      </c>
      <c r="O3" s="166" t="s">
        <v>435</v>
      </c>
      <c r="P3" s="166" t="s">
        <v>373</v>
      </c>
    </row>
    <row r="4" spans="1:16">
      <c r="A4" s="330" t="s">
        <v>579</v>
      </c>
      <c r="B4" s="331" t="s">
        <v>569</v>
      </c>
      <c r="C4" s="56" t="s">
        <v>7</v>
      </c>
      <c r="D4" s="327">
        <v>4868</v>
      </c>
      <c r="E4" s="332">
        <v>0</v>
      </c>
      <c r="F4" s="333">
        <v>0</v>
      </c>
      <c r="G4" s="56" t="s">
        <v>7</v>
      </c>
      <c r="H4" s="327">
        <v>74</v>
      </c>
      <c r="I4" s="200" t="s">
        <v>7</v>
      </c>
      <c r="J4" s="201" t="s">
        <v>7</v>
      </c>
      <c r="K4" s="202" t="s">
        <v>7</v>
      </c>
      <c r="M4" s="278"/>
      <c r="N4" s="334"/>
      <c r="O4" s="335"/>
      <c r="P4" s="281"/>
    </row>
    <row r="5" spans="1:16">
      <c r="A5" s="330" t="s">
        <v>580</v>
      </c>
      <c r="B5" s="331" t="s">
        <v>456</v>
      </c>
      <c r="C5" s="56" t="s">
        <v>7</v>
      </c>
      <c r="D5" s="327">
        <v>33067</v>
      </c>
      <c r="E5" s="332">
        <v>1</v>
      </c>
      <c r="F5" s="336">
        <v>12</v>
      </c>
      <c r="G5" s="56" t="s">
        <v>7</v>
      </c>
      <c r="H5" s="327">
        <v>22517</v>
      </c>
      <c r="I5" s="200" t="s">
        <v>7</v>
      </c>
      <c r="J5" s="202" t="s">
        <v>7</v>
      </c>
      <c r="K5" s="202" t="s">
        <v>7</v>
      </c>
      <c r="M5" s="278"/>
      <c r="N5" s="337"/>
      <c r="O5" s="338"/>
      <c r="P5" s="281"/>
    </row>
    <row r="6" spans="1:16">
      <c r="A6" s="330" t="s">
        <v>500</v>
      </c>
      <c r="B6" s="331" t="s">
        <v>569</v>
      </c>
      <c r="C6" s="56" t="s">
        <v>7</v>
      </c>
      <c r="D6" s="327">
        <v>34</v>
      </c>
      <c r="E6" s="332">
        <v>2</v>
      </c>
      <c r="F6" s="336">
        <v>24</v>
      </c>
      <c r="G6" s="56" t="s">
        <v>7</v>
      </c>
      <c r="H6" s="327">
        <v>23061</v>
      </c>
      <c r="I6" s="200" t="s">
        <v>7</v>
      </c>
      <c r="J6" s="202" t="s">
        <v>7</v>
      </c>
      <c r="K6" s="202" t="s">
        <v>7</v>
      </c>
      <c r="M6" s="278"/>
      <c r="N6" s="337"/>
      <c r="O6" s="338"/>
      <c r="P6" s="281"/>
    </row>
    <row r="7" spans="1:16">
      <c r="A7" s="332" t="s">
        <v>52</v>
      </c>
      <c r="B7" s="331" t="s">
        <v>569</v>
      </c>
      <c r="C7" s="56" t="s">
        <v>7</v>
      </c>
      <c r="D7" s="327">
        <v>2</v>
      </c>
      <c r="E7" s="332">
        <v>3</v>
      </c>
      <c r="F7" s="336">
        <v>32</v>
      </c>
      <c r="G7" s="56" t="s">
        <v>7</v>
      </c>
      <c r="H7" s="327">
        <v>10647</v>
      </c>
      <c r="I7" s="200" t="s">
        <v>7</v>
      </c>
      <c r="J7" s="202" t="s">
        <v>7</v>
      </c>
      <c r="K7" s="202" t="s">
        <v>7</v>
      </c>
      <c r="M7" s="278"/>
      <c r="N7" s="337"/>
      <c r="O7" s="338"/>
      <c r="P7" s="281"/>
    </row>
    <row r="8" spans="1:16">
      <c r="A8" s="330" t="s">
        <v>437</v>
      </c>
      <c r="B8" s="331" t="s">
        <v>457</v>
      </c>
      <c r="C8" s="56" t="s">
        <v>7</v>
      </c>
      <c r="D8" s="327">
        <v>19097</v>
      </c>
      <c r="E8" s="332">
        <v>9</v>
      </c>
      <c r="F8" s="336">
        <v>0</v>
      </c>
      <c r="G8" s="56" t="s">
        <v>7</v>
      </c>
      <c r="H8" s="327">
        <v>285</v>
      </c>
      <c r="I8" s="200" t="s">
        <v>7</v>
      </c>
      <c r="J8" s="202" t="s">
        <v>7</v>
      </c>
      <c r="K8" s="202" t="s">
        <v>7</v>
      </c>
      <c r="M8" s="278"/>
      <c r="N8" s="337"/>
      <c r="O8" s="338"/>
      <c r="P8" s="281"/>
    </row>
    <row r="9" spans="1:16" ht="15" thickBot="1">
      <c r="A9" s="339"/>
      <c r="B9" s="99"/>
      <c r="C9" s="4"/>
      <c r="E9" s="332" t="s">
        <v>579</v>
      </c>
      <c r="F9" s="340">
        <v>0</v>
      </c>
      <c r="G9" s="4"/>
      <c r="H9" s="327">
        <v>484</v>
      </c>
      <c r="I9" s="200"/>
      <c r="J9" s="200"/>
      <c r="K9" s="203"/>
      <c r="M9" s="278"/>
      <c r="N9" s="337"/>
      <c r="O9" s="341"/>
      <c r="P9" s="125"/>
    </row>
    <row r="10" spans="1:16">
      <c r="A10" s="15"/>
      <c r="B10" s="15"/>
      <c r="C10" s="342" t="s">
        <v>578</v>
      </c>
      <c r="D10" s="343">
        <f>SUM(D4:D9)</f>
        <v>57068</v>
      </c>
      <c r="E10" s="339"/>
      <c r="F10" s="99"/>
      <c r="G10" s="342" t="s">
        <v>578</v>
      </c>
      <c r="H10" s="343">
        <f>SUM(H4:H9)</f>
        <v>57068</v>
      </c>
      <c r="I10" s="200"/>
      <c r="J10" s="200"/>
      <c r="K10" s="203"/>
      <c r="M10" s="278"/>
      <c r="N10" s="337"/>
      <c r="O10" s="341"/>
      <c r="P10" s="125"/>
    </row>
    <row r="11" spans="1:16">
      <c r="A11" s="15"/>
      <c r="B11" s="15"/>
      <c r="C11" s="4"/>
      <c r="E11" s="15"/>
      <c r="F11" s="15"/>
      <c r="G11" s="4"/>
      <c r="I11" s="200"/>
      <c r="J11" s="200"/>
      <c r="K11" s="203"/>
      <c r="M11" s="278"/>
      <c r="N11" s="337"/>
      <c r="O11" s="341"/>
      <c r="P11" s="125"/>
    </row>
    <row r="12" spans="1:16">
      <c r="A12" s="218" t="s">
        <v>397</v>
      </c>
      <c r="B12" s="207" t="s">
        <v>381</v>
      </c>
      <c r="C12" s="207" t="s">
        <v>381</v>
      </c>
      <c r="E12" s="218" t="s">
        <v>397</v>
      </c>
      <c r="F12" s="207" t="s">
        <v>381</v>
      </c>
      <c r="G12" s="207" t="s">
        <v>381</v>
      </c>
      <c r="I12" s="200"/>
      <c r="J12" s="200"/>
      <c r="K12" s="203"/>
      <c r="M12" s="219" t="s">
        <v>397</v>
      </c>
      <c r="N12" s="220" t="s">
        <v>381</v>
      </c>
      <c r="O12" s="220" t="s">
        <v>381</v>
      </c>
      <c r="P12" s="220" t="s">
        <v>381</v>
      </c>
    </row>
    <row r="13" spans="1:16">
      <c r="A13" s="210" t="s">
        <v>438</v>
      </c>
      <c r="B13" s="209" t="s">
        <v>381</v>
      </c>
      <c r="C13" s="209" t="s">
        <v>381</v>
      </c>
      <c r="E13" s="210" t="s">
        <v>398</v>
      </c>
      <c r="F13" s="209" t="s">
        <v>381</v>
      </c>
      <c r="G13" s="209" t="s">
        <v>381</v>
      </c>
      <c r="I13" s="200"/>
      <c r="J13" s="200"/>
      <c r="K13" s="203"/>
      <c r="M13" s="210" t="s">
        <v>439</v>
      </c>
      <c r="N13" s="209" t="s">
        <v>381</v>
      </c>
      <c r="O13" s="209" t="s">
        <v>381</v>
      </c>
      <c r="P13" s="209" t="s">
        <v>381</v>
      </c>
    </row>
    <row r="14" spans="1:16">
      <c r="A14" s="210" t="s">
        <v>440</v>
      </c>
      <c r="B14" s="209" t="s">
        <v>381</v>
      </c>
      <c r="C14" s="209" t="s">
        <v>381</v>
      </c>
      <c r="E14" s="210" t="s">
        <v>441</v>
      </c>
      <c r="F14" s="209" t="s">
        <v>381</v>
      </c>
      <c r="G14" s="209" t="s">
        <v>381</v>
      </c>
      <c r="I14" s="200"/>
      <c r="J14" s="200"/>
      <c r="K14" s="203"/>
      <c r="M14" s="377" t="s">
        <v>442</v>
      </c>
      <c r="N14" s="378"/>
      <c r="O14" s="378"/>
      <c r="P14" s="379"/>
    </row>
    <row r="15" spans="1:16">
      <c r="A15" s="210" t="s">
        <v>443</v>
      </c>
      <c r="B15" s="209" t="s">
        <v>381</v>
      </c>
      <c r="C15" s="209" t="s">
        <v>381</v>
      </c>
      <c r="E15" s="210" t="s">
        <v>444</v>
      </c>
      <c r="F15" s="209" t="s">
        <v>381</v>
      </c>
      <c r="G15" s="209" t="s">
        <v>381</v>
      </c>
      <c r="I15" s="200"/>
      <c r="J15" s="200"/>
      <c r="K15" s="203"/>
      <c r="M15" s="210" t="s">
        <v>445</v>
      </c>
      <c r="N15" s="209" t="s">
        <v>381</v>
      </c>
      <c r="O15" s="209" t="s">
        <v>381</v>
      </c>
      <c r="P15" s="209" t="s">
        <v>381</v>
      </c>
    </row>
    <row r="16" spans="1:16">
      <c r="A16" s="210" t="s">
        <v>446</v>
      </c>
      <c r="B16" s="209" t="s">
        <v>381</v>
      </c>
      <c r="C16" s="209" t="s">
        <v>381</v>
      </c>
      <c r="E16" s="210" t="s">
        <v>447</v>
      </c>
      <c r="F16" s="209" t="s">
        <v>381</v>
      </c>
      <c r="G16" s="209" t="s">
        <v>381</v>
      </c>
      <c r="I16" s="200"/>
      <c r="J16" s="200"/>
      <c r="K16" s="203"/>
      <c r="M16" s="210" t="s">
        <v>381</v>
      </c>
      <c r="N16" s="209" t="s">
        <v>381</v>
      </c>
      <c r="O16" s="209" t="s">
        <v>381</v>
      </c>
      <c r="P16" s="209" t="s">
        <v>381</v>
      </c>
    </row>
    <row r="17" spans="1:20">
      <c r="A17" s="210" t="s">
        <v>381</v>
      </c>
      <c r="B17" s="209" t="s">
        <v>381</v>
      </c>
      <c r="C17" s="209" t="s">
        <v>381</v>
      </c>
      <c r="E17" s="210" t="s">
        <v>410</v>
      </c>
      <c r="F17" s="209" t="s">
        <v>381</v>
      </c>
      <c r="G17" s="209" t="s">
        <v>381</v>
      </c>
      <c r="I17" s="200"/>
      <c r="J17" s="200"/>
      <c r="K17" s="203"/>
      <c r="M17" s="210" t="s">
        <v>381</v>
      </c>
      <c r="N17" s="209" t="s">
        <v>381</v>
      </c>
      <c r="O17" s="209" t="s">
        <v>381</v>
      </c>
      <c r="P17" s="209" t="s">
        <v>381</v>
      </c>
    </row>
    <row r="18" spans="1:20">
      <c r="A18" s="210" t="s">
        <v>381</v>
      </c>
      <c r="B18" s="209" t="s">
        <v>381</v>
      </c>
      <c r="C18" s="209" t="s">
        <v>381</v>
      </c>
      <c r="E18" s="210" t="s">
        <v>381</v>
      </c>
      <c r="F18" s="209" t="s">
        <v>381</v>
      </c>
      <c r="G18" s="209" t="s">
        <v>381</v>
      </c>
      <c r="I18" s="200"/>
      <c r="J18" s="200"/>
      <c r="K18" s="203"/>
      <c r="M18" s="210" t="s">
        <v>381</v>
      </c>
      <c r="N18" s="209" t="s">
        <v>381</v>
      </c>
      <c r="O18" s="209" t="s">
        <v>381</v>
      </c>
      <c r="P18" s="209" t="s">
        <v>381</v>
      </c>
    </row>
    <row r="19" spans="1:20">
      <c r="A19" s="210" t="s">
        <v>381</v>
      </c>
      <c r="B19" s="209" t="s">
        <v>381</v>
      </c>
      <c r="C19" s="209" t="s">
        <v>381</v>
      </c>
      <c r="E19" s="210" t="s">
        <v>381</v>
      </c>
      <c r="F19" s="209" t="s">
        <v>381</v>
      </c>
      <c r="G19" s="209" t="s">
        <v>381</v>
      </c>
      <c r="I19" s="200"/>
      <c r="J19" s="200"/>
      <c r="K19" s="203"/>
      <c r="M19" s="210" t="s">
        <v>381</v>
      </c>
      <c r="N19" s="209" t="s">
        <v>381</v>
      </c>
      <c r="O19" s="209" t="s">
        <v>381</v>
      </c>
      <c r="P19" s="209" t="s">
        <v>381</v>
      </c>
    </row>
    <row r="20" spans="1:20">
      <c r="A20" s="16"/>
      <c r="B20" s="16"/>
      <c r="C20" s="5"/>
      <c r="E20" s="16"/>
      <c r="F20" s="16"/>
      <c r="G20" s="5"/>
      <c r="I20" s="16"/>
      <c r="J20" s="16"/>
      <c r="K20" s="5"/>
    </row>
    <row r="21" spans="1:20" ht="24">
      <c r="B21" s="85" t="s">
        <v>413</v>
      </c>
      <c r="C21" s="88" t="s">
        <v>367</v>
      </c>
      <c r="E21" s="174" t="s">
        <v>448</v>
      </c>
      <c r="F21" s="175" t="s">
        <v>414</v>
      </c>
      <c r="G21" s="88" t="s">
        <v>367</v>
      </c>
      <c r="J21" s="85" t="s">
        <v>449</v>
      </c>
      <c r="K21" s="88" t="s">
        <v>367</v>
      </c>
      <c r="R21" s="16"/>
      <c r="S21" s="16"/>
      <c r="T21" s="5"/>
    </row>
    <row r="22" spans="1:20" ht="60">
      <c r="A22" s="80" t="s">
        <v>450</v>
      </c>
      <c r="B22" s="55" t="s">
        <v>451</v>
      </c>
      <c r="C22" s="55" t="s">
        <v>373</v>
      </c>
      <c r="E22" s="80" t="s">
        <v>452</v>
      </c>
      <c r="F22" s="79" t="s">
        <v>453</v>
      </c>
      <c r="G22" s="55" t="s">
        <v>373</v>
      </c>
      <c r="I22" s="80" t="s">
        <v>454</v>
      </c>
      <c r="J22" s="55" t="s">
        <v>455</v>
      </c>
      <c r="K22" s="55" t="s">
        <v>373</v>
      </c>
      <c r="R22" s="16"/>
      <c r="S22" s="16"/>
      <c r="T22" s="5"/>
    </row>
    <row r="23" spans="1:20">
      <c r="A23" s="278"/>
      <c r="B23" s="335"/>
      <c r="C23" s="281"/>
      <c r="E23" s="344"/>
      <c r="F23" s="345"/>
      <c r="G23" s="281"/>
      <c r="I23" s="278"/>
      <c r="J23" s="335"/>
      <c r="K23" s="281"/>
      <c r="R23" s="16"/>
      <c r="S23" s="16"/>
      <c r="T23" s="5"/>
    </row>
    <row r="24" spans="1:20">
      <c r="A24" s="278"/>
      <c r="B24" s="338"/>
      <c r="C24" s="281"/>
      <c r="E24" s="344"/>
      <c r="F24" s="345"/>
      <c r="G24" s="281"/>
      <c r="I24" s="278"/>
      <c r="J24" s="338"/>
      <c r="K24" s="281"/>
      <c r="R24" s="16"/>
      <c r="S24" s="16"/>
      <c r="T24" s="5"/>
    </row>
    <row r="25" spans="1:20">
      <c r="A25" s="278"/>
      <c r="B25" s="338"/>
      <c r="C25" s="281"/>
      <c r="E25" s="344"/>
      <c r="F25" s="345"/>
      <c r="G25" s="281"/>
      <c r="I25" s="278"/>
      <c r="J25" s="338"/>
      <c r="K25" s="281"/>
      <c r="R25" s="16"/>
      <c r="S25" s="16"/>
      <c r="T25" s="5"/>
    </row>
    <row r="26" spans="1:20">
      <c r="A26" s="278"/>
      <c r="B26" s="338"/>
      <c r="C26" s="281"/>
      <c r="E26" s="344"/>
      <c r="F26" s="345"/>
      <c r="G26" s="281"/>
      <c r="I26" s="278"/>
      <c r="J26" s="338"/>
      <c r="K26" s="281"/>
      <c r="R26" s="16"/>
      <c r="S26" s="16"/>
      <c r="T26" s="5"/>
    </row>
    <row r="27" spans="1:20">
      <c r="A27" s="278"/>
      <c r="B27" s="338"/>
      <c r="C27" s="281"/>
      <c r="E27" s="344"/>
      <c r="F27" s="345"/>
      <c r="G27" s="281"/>
      <c r="I27" s="278"/>
      <c r="J27" s="338"/>
      <c r="K27" s="281"/>
      <c r="R27" s="16"/>
      <c r="S27" s="16"/>
      <c r="T27" s="5"/>
    </row>
    <row r="28" spans="1:20">
      <c r="A28" s="278"/>
      <c r="B28" s="341"/>
      <c r="C28" s="125"/>
      <c r="E28" s="344"/>
      <c r="F28" s="345"/>
      <c r="G28" s="125"/>
      <c r="I28" s="278"/>
      <c r="J28" s="341"/>
      <c r="K28" s="125"/>
      <c r="R28" s="16"/>
      <c r="S28" s="16"/>
      <c r="T28" s="5"/>
    </row>
    <row r="29" spans="1:20">
      <c r="A29" s="278"/>
      <c r="B29" s="341"/>
      <c r="C29" s="125"/>
      <c r="E29" s="346"/>
      <c r="F29" s="345"/>
      <c r="G29" s="125"/>
      <c r="I29" s="278"/>
      <c r="J29" s="341"/>
      <c r="K29" s="125"/>
      <c r="R29" s="16"/>
      <c r="S29" s="16"/>
      <c r="T29" s="5"/>
    </row>
    <row r="30" spans="1:20">
      <c r="A30" s="278"/>
      <c r="B30" s="341"/>
      <c r="C30" s="125"/>
      <c r="E30" s="347"/>
      <c r="F30" s="348"/>
      <c r="G30" s="125"/>
      <c r="I30" s="278"/>
      <c r="J30" s="341"/>
      <c r="K30" s="125"/>
      <c r="R30" s="16"/>
      <c r="S30" s="16"/>
      <c r="T30" s="5"/>
    </row>
    <row r="31" spans="1:20">
      <c r="A31" s="278"/>
      <c r="B31" s="124"/>
      <c r="C31" s="125"/>
      <c r="E31" s="124"/>
      <c r="F31" s="124"/>
      <c r="G31" s="125"/>
      <c r="I31" s="124"/>
      <c r="J31" s="124"/>
      <c r="K31" s="125"/>
      <c r="R31" s="16"/>
      <c r="S31" s="16"/>
      <c r="T31" s="5"/>
    </row>
    <row r="32" spans="1:20">
      <c r="A32" s="124"/>
      <c r="B32" s="124"/>
      <c r="C32" s="125"/>
      <c r="E32" s="124"/>
      <c r="F32" s="148"/>
      <c r="G32" s="125"/>
      <c r="I32" s="124"/>
      <c r="J32" s="124"/>
      <c r="K32" s="125"/>
      <c r="R32" s="16"/>
      <c r="S32" s="16"/>
      <c r="T32" s="5"/>
    </row>
    <row r="33" spans="1:20">
      <c r="A33" s="124"/>
      <c r="B33" s="124"/>
      <c r="C33" s="125"/>
      <c r="E33" s="218" t="s">
        <v>397</v>
      </c>
      <c r="F33" s="218"/>
      <c r="G33" s="218"/>
      <c r="I33" s="124"/>
      <c r="J33" s="124"/>
      <c r="K33" s="125"/>
      <c r="R33" s="16"/>
      <c r="S33" s="16"/>
      <c r="T33" s="5"/>
    </row>
    <row r="34" spans="1:20">
      <c r="A34" s="124"/>
      <c r="B34" s="124"/>
      <c r="C34" s="125"/>
      <c r="E34" s="210" t="s">
        <v>462</v>
      </c>
      <c r="F34" s="210"/>
      <c r="G34" s="210"/>
      <c r="I34" s="124"/>
      <c r="J34" s="124"/>
      <c r="K34" s="125"/>
      <c r="R34" s="16"/>
      <c r="S34" s="16"/>
      <c r="T34" s="5"/>
    </row>
    <row r="35" spans="1:20">
      <c r="A35" s="124"/>
      <c r="B35" s="124"/>
      <c r="C35" s="125"/>
      <c r="E35" s="210" t="s">
        <v>410</v>
      </c>
      <c r="F35" s="210"/>
      <c r="G35" s="210"/>
      <c r="I35" s="124"/>
      <c r="J35" s="124"/>
      <c r="K35" s="125"/>
      <c r="R35" s="16"/>
      <c r="S35" s="16"/>
      <c r="T35" s="5"/>
    </row>
    <row r="36" spans="1:20">
      <c r="A36" s="124"/>
      <c r="B36" s="124"/>
      <c r="C36" s="125"/>
      <c r="E36" s="210" t="s">
        <v>463</v>
      </c>
      <c r="F36" s="210"/>
      <c r="G36" s="210"/>
      <c r="I36" s="124"/>
      <c r="J36" s="124"/>
      <c r="K36" s="125"/>
      <c r="R36" s="16"/>
      <c r="S36" s="16"/>
      <c r="T36" s="5"/>
    </row>
    <row r="37" spans="1:20">
      <c r="A37" s="124"/>
      <c r="B37" s="124"/>
      <c r="C37" s="125"/>
      <c r="E37" s="210" t="s">
        <v>464</v>
      </c>
      <c r="F37" s="210"/>
      <c r="G37" s="210"/>
      <c r="I37" s="124"/>
      <c r="J37" s="124"/>
      <c r="K37" s="125"/>
      <c r="R37" s="16"/>
      <c r="S37" s="16"/>
      <c r="T37" s="5"/>
    </row>
    <row r="38" spans="1:20">
      <c r="A38" s="124"/>
      <c r="B38" s="124"/>
      <c r="C38" s="125"/>
      <c r="E38" s="210" t="s">
        <v>465</v>
      </c>
      <c r="F38" s="210"/>
      <c r="G38" s="210"/>
      <c r="I38" s="124"/>
      <c r="J38" s="124"/>
      <c r="K38" s="125"/>
      <c r="R38" s="16"/>
      <c r="S38" s="16"/>
      <c r="T38" s="5"/>
    </row>
    <row r="39" spans="1:20">
      <c r="A39" s="124"/>
      <c r="B39" s="124"/>
      <c r="C39" s="125"/>
      <c r="E39" s="210" t="s">
        <v>466</v>
      </c>
      <c r="F39" s="210"/>
      <c r="G39" s="210"/>
      <c r="I39" s="124"/>
      <c r="J39" s="124"/>
      <c r="K39" s="125"/>
      <c r="R39" s="16"/>
      <c r="S39" s="16"/>
      <c r="T39" s="5"/>
    </row>
    <row r="40" spans="1:20">
      <c r="A40" s="124"/>
      <c r="B40" s="124"/>
      <c r="C40" s="125"/>
      <c r="E40" s="210" t="s">
        <v>467</v>
      </c>
      <c r="F40" s="210"/>
      <c r="G40" s="210"/>
      <c r="I40" s="124"/>
      <c r="J40" s="124"/>
      <c r="K40" s="125"/>
      <c r="R40" s="16"/>
      <c r="S40" s="16"/>
      <c r="T40" s="5"/>
    </row>
    <row r="41" spans="1:20">
      <c r="A41" s="124"/>
      <c r="B41" s="124"/>
      <c r="C41" s="125"/>
      <c r="E41" s="210" t="s">
        <v>468</v>
      </c>
      <c r="F41" s="210"/>
      <c r="G41" s="210"/>
      <c r="I41" s="124"/>
      <c r="J41" s="124"/>
      <c r="K41" s="125"/>
      <c r="R41" s="16"/>
      <c r="S41" s="16"/>
      <c r="T41" s="5"/>
    </row>
    <row r="42" spans="1:20">
      <c r="A42" s="124"/>
      <c r="B42" s="124"/>
      <c r="C42" s="125"/>
      <c r="E42" s="210" t="s">
        <v>469</v>
      </c>
      <c r="F42" s="210"/>
      <c r="G42" s="210"/>
      <c r="I42" s="124"/>
      <c r="J42" s="124"/>
      <c r="K42" s="125"/>
      <c r="R42" s="16"/>
      <c r="S42" s="16"/>
      <c r="T42" s="5"/>
    </row>
    <row r="43" spans="1:20">
      <c r="A43" s="124"/>
      <c r="B43" s="124"/>
      <c r="C43" s="125"/>
      <c r="E43" s="210" t="s">
        <v>470</v>
      </c>
      <c r="F43" s="210"/>
      <c r="G43" s="210"/>
      <c r="I43" s="124"/>
      <c r="J43" s="124"/>
      <c r="K43" s="125"/>
      <c r="R43" s="16"/>
      <c r="S43" s="16"/>
      <c r="T43" s="5"/>
    </row>
    <row r="44" spans="1:20" ht="28.8">
      <c r="A44" s="173" t="s">
        <v>471</v>
      </c>
      <c r="I44" s="16"/>
      <c r="J44" s="16"/>
      <c r="K44" s="5"/>
      <c r="R44" s="16"/>
      <c r="S44" s="16"/>
      <c r="T44" s="5"/>
    </row>
    <row r="45" spans="1:20">
      <c r="A45" s="16"/>
      <c r="B45" s="16"/>
      <c r="C45" s="5"/>
      <c r="E45" s="16"/>
      <c r="F45" s="16"/>
      <c r="G45" s="5"/>
      <c r="I45" s="16"/>
      <c r="J45" s="16"/>
      <c r="K45" s="5"/>
      <c r="R45" s="16"/>
      <c r="S45" s="16"/>
      <c r="T45" s="5"/>
    </row>
    <row r="46" spans="1:20">
      <c r="A46" s="16"/>
      <c r="B46" s="16"/>
      <c r="C46" s="5"/>
      <c r="E46" s="16"/>
      <c r="F46" s="16"/>
      <c r="G46" s="5"/>
      <c r="I46" s="16"/>
      <c r="J46" s="16"/>
      <c r="K46" s="5"/>
    </row>
    <row r="47" spans="1:20">
      <c r="A47" s="16"/>
      <c r="B47" s="16"/>
      <c r="C47" s="5"/>
      <c r="E47" s="16"/>
      <c r="F47" s="16"/>
      <c r="G47" s="5"/>
    </row>
    <row r="48" spans="1:20" ht="28.8">
      <c r="A48" s="86" t="s">
        <v>472</v>
      </c>
    </row>
    <row r="49" spans="1:11" ht="43.2">
      <c r="A49" s="82" t="s">
        <v>473</v>
      </c>
      <c r="B49" s="85" t="s">
        <v>366</v>
      </c>
      <c r="C49" s="88" t="s">
        <v>367</v>
      </c>
      <c r="E49" s="82" t="s">
        <v>474</v>
      </c>
      <c r="F49" s="85" t="s">
        <v>368</v>
      </c>
      <c r="G49" s="88" t="s">
        <v>367</v>
      </c>
      <c r="I49" s="82" t="s">
        <v>475</v>
      </c>
      <c r="J49" s="85" t="s">
        <v>369</v>
      </c>
      <c r="K49" s="88" t="s">
        <v>367</v>
      </c>
    </row>
    <row r="50" spans="1:11" ht="60">
      <c r="A50" s="78" t="s">
        <v>174</v>
      </c>
      <c r="B50" s="79" t="s">
        <v>476</v>
      </c>
      <c r="C50" s="55" t="s">
        <v>373</v>
      </c>
      <c r="E50" s="80" t="s">
        <v>178</v>
      </c>
      <c r="F50" s="79" t="s">
        <v>477</v>
      </c>
      <c r="G50" s="55" t="s">
        <v>373</v>
      </c>
      <c r="I50" s="80" t="s">
        <v>182</v>
      </c>
      <c r="J50" s="79" t="s">
        <v>478</v>
      </c>
      <c r="K50" s="55" t="s">
        <v>373</v>
      </c>
    </row>
    <row r="51" spans="1:11">
      <c r="A51" s="344" t="s">
        <v>380</v>
      </c>
      <c r="B51" s="281" t="s">
        <v>7</v>
      </c>
      <c r="C51" s="281" t="s">
        <v>7</v>
      </c>
      <c r="E51" s="344" t="s">
        <v>380</v>
      </c>
      <c r="F51" s="281" t="s">
        <v>7</v>
      </c>
      <c r="G51" s="281" t="s">
        <v>7</v>
      </c>
      <c r="I51" s="344" t="s">
        <v>380</v>
      </c>
      <c r="J51" s="281" t="s">
        <v>7</v>
      </c>
      <c r="K51" s="281" t="s">
        <v>7</v>
      </c>
    </row>
    <row r="52" spans="1:11">
      <c r="A52" s="344" t="s">
        <v>479</v>
      </c>
      <c r="B52" s="281" t="s">
        <v>7</v>
      </c>
      <c r="C52" s="281" t="s">
        <v>7</v>
      </c>
      <c r="E52" s="344" t="s">
        <v>479</v>
      </c>
      <c r="F52" s="281" t="s">
        <v>7</v>
      </c>
      <c r="G52" s="281" t="s">
        <v>7</v>
      </c>
      <c r="I52" s="344" t="s">
        <v>479</v>
      </c>
      <c r="J52" s="281" t="s">
        <v>7</v>
      </c>
      <c r="K52" s="281" t="s">
        <v>7</v>
      </c>
    </row>
    <row r="53" spans="1:11">
      <c r="A53" s="344" t="s">
        <v>480</v>
      </c>
      <c r="B53" s="281" t="s">
        <v>7</v>
      </c>
      <c r="C53" s="281" t="s">
        <v>7</v>
      </c>
      <c r="E53" s="344" t="s">
        <v>480</v>
      </c>
      <c r="F53" s="281" t="s">
        <v>7</v>
      </c>
      <c r="G53" s="281" t="s">
        <v>7</v>
      </c>
      <c r="I53" s="344" t="s">
        <v>480</v>
      </c>
      <c r="J53" s="281" t="s">
        <v>7</v>
      </c>
      <c r="K53" s="281" t="s">
        <v>7</v>
      </c>
    </row>
    <row r="54" spans="1:11">
      <c r="A54" s="344" t="s">
        <v>481</v>
      </c>
      <c r="B54" s="281" t="s">
        <v>7</v>
      </c>
      <c r="C54" s="281" t="s">
        <v>7</v>
      </c>
      <c r="E54" s="344" t="s">
        <v>481</v>
      </c>
      <c r="F54" s="281" t="s">
        <v>7</v>
      </c>
      <c r="G54" s="281" t="s">
        <v>7</v>
      </c>
      <c r="I54" s="344" t="s">
        <v>481</v>
      </c>
      <c r="J54" s="281" t="s">
        <v>7</v>
      </c>
      <c r="K54" s="281" t="s">
        <v>7</v>
      </c>
    </row>
    <row r="55" spans="1:11">
      <c r="A55" s="344" t="s">
        <v>482</v>
      </c>
      <c r="B55" s="281" t="s">
        <v>7</v>
      </c>
      <c r="C55" s="281" t="s">
        <v>7</v>
      </c>
      <c r="E55" s="344" t="s">
        <v>482</v>
      </c>
      <c r="F55" s="281" t="s">
        <v>7</v>
      </c>
      <c r="G55" s="281" t="s">
        <v>7</v>
      </c>
      <c r="I55" s="344" t="s">
        <v>482</v>
      </c>
      <c r="J55" s="281" t="s">
        <v>7</v>
      </c>
      <c r="K55" s="281" t="s">
        <v>7</v>
      </c>
    </row>
    <row r="56" spans="1:11">
      <c r="A56" s="344" t="s">
        <v>483</v>
      </c>
      <c r="B56" s="281"/>
      <c r="C56" s="281"/>
      <c r="E56" s="344" t="s">
        <v>483</v>
      </c>
      <c r="F56" s="281"/>
      <c r="G56" s="281"/>
      <c r="I56" s="344" t="s">
        <v>483</v>
      </c>
      <c r="J56" s="281"/>
      <c r="K56" s="281"/>
    </row>
    <row r="57" spans="1:11">
      <c r="A57" s="344" t="s">
        <v>484</v>
      </c>
      <c r="B57" s="281"/>
      <c r="C57" s="281"/>
      <c r="E57" s="344" t="s">
        <v>484</v>
      </c>
      <c r="F57" s="281"/>
      <c r="G57" s="281"/>
      <c r="I57" s="344" t="s">
        <v>484</v>
      </c>
      <c r="J57" s="281"/>
      <c r="K57" s="281"/>
    </row>
    <row r="58" spans="1:11">
      <c r="A58" s="344" t="s">
        <v>485</v>
      </c>
      <c r="B58" s="281"/>
      <c r="C58" s="281"/>
      <c r="E58" s="344" t="s">
        <v>485</v>
      </c>
      <c r="F58" s="281"/>
      <c r="G58" s="281"/>
      <c r="I58" s="344" t="s">
        <v>485</v>
      </c>
      <c r="J58" s="281"/>
      <c r="K58" s="281"/>
    </row>
    <row r="59" spans="1:11">
      <c r="A59" s="344" t="s">
        <v>486</v>
      </c>
      <c r="B59" s="281"/>
      <c r="C59" s="281"/>
      <c r="E59" s="344" t="s">
        <v>486</v>
      </c>
      <c r="F59" s="281"/>
      <c r="G59" s="281"/>
      <c r="I59" s="344" t="s">
        <v>486</v>
      </c>
      <c r="J59" s="281"/>
      <c r="K59" s="281"/>
    </row>
    <row r="60" spans="1:11">
      <c r="A60" s="344" t="s">
        <v>487</v>
      </c>
      <c r="B60" s="281"/>
      <c r="C60" s="281"/>
      <c r="E60" s="344" t="s">
        <v>487</v>
      </c>
      <c r="F60" s="281"/>
      <c r="G60" s="281"/>
      <c r="I60" s="344" t="s">
        <v>487</v>
      </c>
      <c r="J60" s="281"/>
      <c r="K60" s="281"/>
    </row>
    <row r="61" spans="1:11">
      <c r="A61" s="124"/>
      <c r="B61" s="281"/>
      <c r="C61" s="281"/>
      <c r="E61" s="124"/>
      <c r="F61" s="281"/>
      <c r="G61" s="281"/>
      <c r="I61" s="124"/>
      <c r="J61" s="281"/>
      <c r="K61" s="281"/>
    </row>
    <row r="62" spans="1:11">
      <c r="A62" s="124"/>
      <c r="B62" s="281"/>
      <c r="C62" s="281"/>
      <c r="E62" s="124"/>
      <c r="F62" s="281"/>
      <c r="G62" s="281"/>
      <c r="I62" s="124"/>
      <c r="J62" s="281"/>
      <c r="K62" s="281"/>
    </row>
    <row r="63" spans="1:11">
      <c r="A63" s="124"/>
      <c r="B63" s="281"/>
      <c r="C63" s="281"/>
      <c r="E63" s="124"/>
      <c r="F63" s="281"/>
      <c r="G63" s="281"/>
      <c r="I63" s="124"/>
      <c r="J63" s="281"/>
      <c r="K63" s="281"/>
    </row>
    <row r="64" spans="1:11">
      <c r="A64" s="349" t="s">
        <v>7</v>
      </c>
      <c r="B64" s="281"/>
      <c r="C64" s="281"/>
      <c r="E64" s="349" t="s">
        <v>7</v>
      </c>
      <c r="F64" s="281"/>
      <c r="G64" s="281"/>
      <c r="I64" s="349" t="s">
        <v>7</v>
      </c>
      <c r="J64" s="281"/>
      <c r="K64" s="281"/>
    </row>
    <row r="65" spans="1:11">
      <c r="A65" s="124"/>
      <c r="B65" s="124"/>
      <c r="C65" s="125"/>
      <c r="E65" s="124"/>
      <c r="F65" s="124"/>
      <c r="G65" s="125"/>
      <c r="I65" s="124"/>
      <c r="J65" s="124"/>
      <c r="K65" s="125"/>
    </row>
    <row r="66" spans="1:11">
      <c r="A66" s="16"/>
      <c r="B66" s="16"/>
      <c r="C66" s="5"/>
      <c r="E66" s="16"/>
      <c r="F66" s="16"/>
      <c r="G66" s="5"/>
      <c r="I66" s="16"/>
      <c r="J66" s="16"/>
      <c r="K66" s="5"/>
    </row>
    <row r="67" spans="1:11">
      <c r="A67" s="16"/>
      <c r="B67" s="16"/>
      <c r="C67" s="5"/>
      <c r="E67" s="16"/>
      <c r="F67" s="16"/>
      <c r="G67" s="5"/>
      <c r="I67" s="16"/>
      <c r="J67" s="16"/>
      <c r="K67" s="5"/>
    </row>
    <row r="68" spans="1:11">
      <c r="A68" s="16"/>
      <c r="B68" s="16"/>
      <c r="C68" s="5"/>
      <c r="E68" s="16"/>
      <c r="F68" s="16"/>
      <c r="G68" s="5"/>
      <c r="I68" s="16"/>
      <c r="J68" s="16"/>
      <c r="K68" s="5"/>
    </row>
    <row r="69" spans="1:11">
      <c r="A69" s="16"/>
      <c r="B69" s="16"/>
      <c r="C69" s="5"/>
      <c r="E69" s="16"/>
      <c r="F69" s="16"/>
      <c r="G69" s="5"/>
      <c r="I69" s="16"/>
      <c r="J69" s="16"/>
      <c r="K69" s="5"/>
    </row>
    <row r="70" spans="1:11">
      <c r="A70" s="16"/>
      <c r="B70" s="16"/>
      <c r="C70" s="5"/>
      <c r="E70" s="16"/>
      <c r="F70" s="16"/>
      <c r="G70" s="5"/>
      <c r="I70" s="16"/>
      <c r="J70" s="16"/>
      <c r="K70" s="5"/>
    </row>
    <row r="71" spans="1:11" ht="43.2">
      <c r="A71" s="82" t="s">
        <v>488</v>
      </c>
      <c r="B71" s="85" t="s">
        <v>412</v>
      </c>
      <c r="C71" s="88" t="s">
        <v>367</v>
      </c>
      <c r="E71" s="82" t="s">
        <v>489</v>
      </c>
      <c r="F71" s="85" t="s">
        <v>413</v>
      </c>
      <c r="G71" s="88" t="s">
        <v>367</v>
      </c>
      <c r="I71" s="11" t="s">
        <v>380</v>
      </c>
    </row>
    <row r="72" spans="1:11" ht="60">
      <c r="A72" s="80" t="s">
        <v>186</v>
      </c>
      <c r="B72" s="79" t="s">
        <v>490</v>
      </c>
      <c r="C72" s="55" t="s">
        <v>373</v>
      </c>
      <c r="E72" s="80" t="s">
        <v>312</v>
      </c>
      <c r="F72" s="79" t="s">
        <v>491</v>
      </c>
      <c r="G72" s="55" t="s">
        <v>373</v>
      </c>
      <c r="I72" s="11" t="s">
        <v>479</v>
      </c>
    </row>
    <row r="73" spans="1:11">
      <c r="A73" s="344" t="s">
        <v>380</v>
      </c>
      <c r="B73" s="281" t="s">
        <v>7</v>
      </c>
      <c r="C73" s="281" t="s">
        <v>7</v>
      </c>
      <c r="E73" s="344" t="s">
        <v>380</v>
      </c>
      <c r="F73" s="281" t="s">
        <v>7</v>
      </c>
      <c r="G73" s="281" t="s">
        <v>7</v>
      </c>
      <c r="I73" s="11" t="s">
        <v>480</v>
      </c>
    </row>
    <row r="74" spans="1:11">
      <c r="A74" s="344" t="s">
        <v>479</v>
      </c>
      <c r="B74" s="281" t="s">
        <v>7</v>
      </c>
      <c r="C74" s="281" t="s">
        <v>7</v>
      </c>
      <c r="E74" s="344" t="s">
        <v>479</v>
      </c>
      <c r="F74" s="281" t="s">
        <v>7</v>
      </c>
      <c r="G74" s="281" t="s">
        <v>7</v>
      </c>
      <c r="I74" s="11" t="s">
        <v>481</v>
      </c>
    </row>
    <row r="75" spans="1:11">
      <c r="A75" s="344" t="s">
        <v>480</v>
      </c>
      <c r="B75" s="281" t="s">
        <v>7</v>
      </c>
      <c r="C75" s="281" t="s">
        <v>7</v>
      </c>
      <c r="E75" s="344" t="s">
        <v>480</v>
      </c>
      <c r="F75" s="281" t="s">
        <v>7</v>
      </c>
      <c r="G75" s="281" t="s">
        <v>7</v>
      </c>
      <c r="I75" s="11" t="s">
        <v>482</v>
      </c>
    </row>
    <row r="76" spans="1:11">
      <c r="A76" s="344" t="s">
        <v>481</v>
      </c>
      <c r="B76" s="281" t="s">
        <v>7</v>
      </c>
      <c r="C76" s="281" t="s">
        <v>7</v>
      </c>
      <c r="E76" s="344" t="s">
        <v>481</v>
      </c>
      <c r="F76" s="281" t="s">
        <v>7</v>
      </c>
      <c r="G76" s="281" t="s">
        <v>7</v>
      </c>
      <c r="I76" s="11" t="s">
        <v>483</v>
      </c>
    </row>
    <row r="77" spans="1:11">
      <c r="A77" s="344" t="s">
        <v>482</v>
      </c>
      <c r="B77" s="281" t="s">
        <v>7</v>
      </c>
      <c r="C77" s="281" t="s">
        <v>7</v>
      </c>
      <c r="E77" s="344" t="s">
        <v>482</v>
      </c>
      <c r="F77" s="281" t="s">
        <v>7</v>
      </c>
      <c r="G77" s="281" t="s">
        <v>7</v>
      </c>
      <c r="I77" s="11" t="s">
        <v>484</v>
      </c>
    </row>
    <row r="78" spans="1:11">
      <c r="A78" s="344" t="s">
        <v>483</v>
      </c>
      <c r="B78" s="281"/>
      <c r="C78" s="281"/>
      <c r="E78" s="344" t="s">
        <v>483</v>
      </c>
      <c r="F78" s="281"/>
      <c r="G78" s="281"/>
      <c r="I78" s="11" t="s">
        <v>485</v>
      </c>
    </row>
    <row r="79" spans="1:11">
      <c r="A79" s="344" t="s">
        <v>484</v>
      </c>
      <c r="B79" s="281"/>
      <c r="C79" s="281"/>
      <c r="E79" s="344" t="s">
        <v>484</v>
      </c>
      <c r="F79" s="281"/>
      <c r="G79" s="281"/>
      <c r="I79" s="11" t="s">
        <v>486</v>
      </c>
    </row>
    <row r="80" spans="1:11">
      <c r="A80" s="344" t="s">
        <v>485</v>
      </c>
      <c r="B80" s="281"/>
      <c r="C80" s="281"/>
      <c r="E80" s="344" t="s">
        <v>485</v>
      </c>
      <c r="F80" s="281"/>
      <c r="G80" s="281"/>
      <c r="I80" s="11" t="s">
        <v>487</v>
      </c>
    </row>
    <row r="81" spans="1:7">
      <c r="A81" s="344" t="s">
        <v>486</v>
      </c>
      <c r="B81" s="281"/>
      <c r="C81" s="281"/>
      <c r="E81" s="344" t="s">
        <v>486</v>
      </c>
      <c r="F81" s="281"/>
      <c r="G81" s="281"/>
    </row>
    <row r="82" spans="1:7">
      <c r="A82" s="344" t="s">
        <v>487</v>
      </c>
      <c r="B82" s="281"/>
      <c r="C82" s="281"/>
      <c r="E82" s="344" t="s">
        <v>487</v>
      </c>
      <c r="F82" s="281"/>
      <c r="G82" s="281"/>
    </row>
    <row r="83" spans="1:7">
      <c r="A83" s="124"/>
      <c r="B83" s="281"/>
      <c r="C83" s="281"/>
      <c r="E83" s="124"/>
      <c r="F83" s="281"/>
      <c r="G83" s="281"/>
    </row>
    <row r="84" spans="1:7">
      <c r="A84" s="124"/>
      <c r="B84" s="281"/>
      <c r="C84" s="281"/>
      <c r="E84" s="124"/>
      <c r="F84" s="281"/>
      <c r="G84" s="281"/>
    </row>
    <row r="85" spans="1:7">
      <c r="A85" s="124"/>
      <c r="B85" s="281"/>
      <c r="C85" s="281"/>
      <c r="E85" s="124"/>
      <c r="F85" s="281"/>
      <c r="G85" s="281"/>
    </row>
    <row r="86" spans="1:7">
      <c r="A86" s="349" t="s">
        <v>7</v>
      </c>
      <c r="B86" s="281"/>
      <c r="C86" s="281"/>
      <c r="E86" s="349" t="s">
        <v>7</v>
      </c>
      <c r="F86" s="281"/>
      <c r="G86" s="281"/>
    </row>
    <row r="87" spans="1:7">
      <c r="A87" s="124"/>
      <c r="B87" s="124"/>
      <c r="C87" s="125"/>
      <c r="E87" s="124"/>
      <c r="F87" s="124"/>
      <c r="G87" s="125"/>
    </row>
    <row r="100" spans="1:15">
      <c r="A100" s="380"/>
      <c r="B100" s="380"/>
      <c r="C100" s="380"/>
      <c r="D100" s="380"/>
      <c r="E100" s="380"/>
      <c r="F100" s="380"/>
      <c r="G100" s="380"/>
      <c r="H100" s="380"/>
      <c r="I100" s="380"/>
      <c r="J100" s="380"/>
      <c r="K100" s="380"/>
      <c r="L100" s="380"/>
      <c r="M100" s="380"/>
      <c r="N100" s="380"/>
      <c r="O100" s="380"/>
    </row>
  </sheetData>
  <mergeCells count="2">
    <mergeCell ref="M14:P14"/>
    <mergeCell ref="A100:O100"/>
  </mergeCells>
  <hyperlinks>
    <hyperlink ref="C2" location="'TABLE C ASSOC FIELDS'!K27" display="Return to Mapping" xr:uid="{C233B0D6-0C26-42D5-8EC9-44671124A019}"/>
    <hyperlink ref="G2" location="MAPPING!K30" display="Return to Mapping" xr:uid="{29CE20CB-D63B-429B-8A02-6ED3485CE087}"/>
    <hyperlink ref="K2" location="MAPPING!K32" display="Return to Mapping" xr:uid="{35223787-25F3-41D3-84D5-8A651F699E8C}"/>
    <hyperlink ref="C49" location="MAPPING!K35" display="Return to Mapping" xr:uid="{E80B41D3-A0A6-43CC-9F32-C780F20553B0}"/>
    <hyperlink ref="G49" location="MAPPING!K36" display="Return to Mapping" xr:uid="{71033DA4-AD88-4382-9B6E-6DA198A0E4AB}"/>
    <hyperlink ref="K49" location="MAPPING!K37" display="Return to Mapping" xr:uid="{778B0C93-55DD-4C28-A3B9-7363D08CB4FA}"/>
    <hyperlink ref="C71" location="'TABLE C ASSOC FIELDS'!K38" display="Return to Mapping" xr:uid="{97EEC4CA-F68E-425D-8F85-0B19129C0AA4}"/>
    <hyperlink ref="G71" location="'TABLE C ASSOC FIELDS'!K38" display="Return to Mapping" xr:uid="{0F84B25D-07A9-4727-90D7-2438534040AF}"/>
    <hyperlink ref="P2" location="MAPPING!K66" display="Return to Mapping" xr:uid="{3507C19D-212E-44F4-817D-A188419257F9}"/>
    <hyperlink ref="C21" location="MAPPING!K66" display="Return to Mapping" xr:uid="{01E9EB60-F391-4C83-B1EE-8808AE7E4922}"/>
    <hyperlink ref="G21" location="MAPPING!K66" display="Return to Mapping" xr:uid="{8498B2D6-2A38-4886-9B4C-35101C64D4AB}"/>
    <hyperlink ref="K21" location="MAPPING!K66" display="Return to Mapping" xr:uid="{E295B98A-4F7E-4DD8-BF30-3E6068212F98}"/>
  </hyperlinks>
  <pageMargins left="0.25" right="0.25" top="0.75" bottom="0.75" header="0.3" footer="0.3"/>
  <pageSetup paperSize="5" orientation="landscape" r:id="rId1"/>
  <headerFooter>
    <oddHeader>&amp;LRefinitiv&amp;CDEMO Reverse Mapping &amp;A&amp;RNew Installations - Conversions</oddHeader>
    <oddFooter>&amp;LConfidential&amp;C&amp;D&amp;RPage &amp;P of &amp;N</oddFooter>
  </headerFooter>
  <rowBreaks count="3" manualBreakCount="3">
    <brk id="20" max="16383" man="1"/>
    <brk id="47" max="16383" man="1"/>
    <brk id="70" max="16383" man="1"/>
  </rowBreaks>
  <colBreaks count="1" manualBreakCount="1">
    <brk id="8" max="1048575" man="1"/>
  </col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2"/>
  <sheetViews>
    <sheetView zoomScaleNormal="100" workbookViewId="0">
      <selection activeCell="E35" sqref="E35"/>
    </sheetView>
  </sheetViews>
  <sheetFormatPr defaultRowHeight="14.4"/>
  <cols>
    <col min="1" max="1" width="24.109375" customWidth="1"/>
    <col min="2" max="2" width="23.44140625" bestFit="1" customWidth="1"/>
    <col min="3" max="3" width="16.109375" customWidth="1"/>
    <col min="5" max="5" width="10.44140625" style="327" customWidth="1"/>
    <col min="6" max="6" width="25.5546875" customWidth="1"/>
    <col min="7" max="7" width="16" customWidth="1"/>
    <col min="10" max="10" width="23.44140625" customWidth="1"/>
    <col min="11" max="11" width="15.6640625" customWidth="1"/>
  </cols>
  <sheetData>
    <row r="1" spans="1:12">
      <c r="A1" s="83" t="s">
        <v>492</v>
      </c>
    </row>
    <row r="3" spans="1:12" ht="24">
      <c r="A3" t="s">
        <v>7</v>
      </c>
      <c r="B3" s="85" t="s">
        <v>366</v>
      </c>
      <c r="C3" s="88" t="s">
        <v>367</v>
      </c>
      <c r="F3" t="s">
        <v>7</v>
      </c>
      <c r="G3" s="204" t="s">
        <v>368</v>
      </c>
      <c r="H3" s="88" t="s">
        <v>367</v>
      </c>
      <c r="K3" s="204" t="s">
        <v>369</v>
      </c>
    </row>
    <row r="4" spans="1:12" ht="60">
      <c r="A4" s="80" t="s">
        <v>321</v>
      </c>
      <c r="B4" s="55" t="s">
        <v>493</v>
      </c>
      <c r="C4" s="55" t="s">
        <v>373</v>
      </c>
      <c r="E4" s="265" t="s">
        <v>568</v>
      </c>
      <c r="F4" s="80" t="s">
        <v>494</v>
      </c>
      <c r="G4" s="55" t="s">
        <v>495</v>
      </c>
      <c r="H4" s="55" t="s">
        <v>373</v>
      </c>
      <c r="J4" s="80" t="s">
        <v>496</v>
      </c>
      <c r="K4" s="55" t="s">
        <v>497</v>
      </c>
      <c r="L4" s="55" t="s">
        <v>373</v>
      </c>
    </row>
    <row r="5" spans="1:12">
      <c r="A5" s="116" t="s">
        <v>380</v>
      </c>
      <c r="B5" s="276" t="s">
        <v>487</v>
      </c>
      <c r="C5" s="115"/>
      <c r="F5" s="271" t="s">
        <v>380</v>
      </c>
      <c r="G5" s="350"/>
      <c r="H5" s="274"/>
      <c r="J5" s="271" t="s">
        <v>380</v>
      </c>
      <c r="K5" s="351"/>
      <c r="L5" s="274" t="s">
        <v>498</v>
      </c>
    </row>
    <row r="6" spans="1:12">
      <c r="A6" s="4" t="s">
        <v>499</v>
      </c>
      <c r="B6" s="276" t="s">
        <v>436</v>
      </c>
      <c r="C6" s="56" t="s">
        <v>7</v>
      </c>
      <c r="E6" s="327">
        <v>34655</v>
      </c>
      <c r="F6" s="125"/>
      <c r="G6" s="125"/>
      <c r="H6" s="281" t="s">
        <v>7</v>
      </c>
      <c r="J6" s="352" t="s">
        <v>7</v>
      </c>
      <c r="K6" s="146"/>
      <c r="L6" s="281" t="s">
        <v>500</v>
      </c>
    </row>
    <row r="7" spans="1:12">
      <c r="A7" s="4" t="s">
        <v>501</v>
      </c>
      <c r="B7" s="276" t="s">
        <v>458</v>
      </c>
      <c r="C7" s="56" t="s">
        <v>7</v>
      </c>
      <c r="E7" s="327">
        <v>11796</v>
      </c>
      <c r="F7" s="125"/>
      <c r="G7" s="125"/>
      <c r="H7" s="281" t="s">
        <v>7</v>
      </c>
      <c r="J7" s="352" t="s">
        <v>7</v>
      </c>
      <c r="K7" s="146"/>
      <c r="L7" s="281" t="s">
        <v>500</v>
      </c>
    </row>
    <row r="8" spans="1:12">
      <c r="A8" s="4" t="s">
        <v>502</v>
      </c>
      <c r="B8" s="276" t="s">
        <v>456</v>
      </c>
      <c r="C8" s="56" t="s">
        <v>7</v>
      </c>
      <c r="E8" s="327">
        <v>6681</v>
      </c>
      <c r="F8" s="125"/>
      <c r="G8" s="125"/>
      <c r="H8" s="281" t="s">
        <v>7</v>
      </c>
      <c r="J8" s="352" t="s">
        <v>7</v>
      </c>
      <c r="K8" s="146"/>
      <c r="L8" s="281" t="s">
        <v>500</v>
      </c>
    </row>
    <row r="9" spans="1:12">
      <c r="A9" s="4" t="s">
        <v>503</v>
      </c>
      <c r="B9" s="276" t="s">
        <v>487</v>
      </c>
      <c r="C9" s="56" t="s">
        <v>7</v>
      </c>
      <c r="E9" s="327">
        <v>909</v>
      </c>
      <c r="F9" s="125"/>
      <c r="G9" s="125"/>
      <c r="H9" s="281" t="s">
        <v>7</v>
      </c>
      <c r="J9" s="352" t="s">
        <v>7</v>
      </c>
      <c r="K9" s="146"/>
      <c r="L9" s="281" t="s">
        <v>500</v>
      </c>
    </row>
    <row r="10" spans="1:12">
      <c r="A10" s="127" t="s">
        <v>35</v>
      </c>
      <c r="B10" s="270" t="s">
        <v>456</v>
      </c>
      <c r="C10" s="353" t="s">
        <v>498</v>
      </c>
      <c r="E10" s="327">
        <v>728</v>
      </c>
      <c r="F10" s="344"/>
      <c r="G10" s="125"/>
      <c r="H10" s="281" t="s">
        <v>7</v>
      </c>
      <c r="J10" s="352" t="s">
        <v>7</v>
      </c>
      <c r="K10" s="146"/>
      <c r="L10" s="281" t="s">
        <v>500</v>
      </c>
    </row>
    <row r="11" spans="1:12">
      <c r="A11" s="127" t="s">
        <v>504</v>
      </c>
      <c r="B11" s="270" t="s">
        <v>456</v>
      </c>
      <c r="C11" s="353" t="s">
        <v>498</v>
      </c>
      <c r="E11" s="327">
        <v>242</v>
      </c>
      <c r="F11" s="124"/>
      <c r="G11" s="124"/>
      <c r="H11" s="125"/>
      <c r="J11" s="352" t="s">
        <v>7</v>
      </c>
      <c r="K11" s="124"/>
      <c r="L11" s="281" t="s">
        <v>500</v>
      </c>
    </row>
    <row r="12" spans="1:12">
      <c r="A12" s="11" t="s">
        <v>505</v>
      </c>
      <c r="B12" s="276" t="s">
        <v>487</v>
      </c>
      <c r="C12" s="56" t="s">
        <v>7</v>
      </c>
      <c r="E12" s="327">
        <v>220</v>
      </c>
      <c r="F12" s="124"/>
      <c r="G12" s="124"/>
      <c r="H12" s="125"/>
      <c r="J12" s="352" t="s">
        <v>7</v>
      </c>
      <c r="K12" s="124"/>
      <c r="L12" s="281" t="s">
        <v>500</v>
      </c>
    </row>
    <row r="13" spans="1:12">
      <c r="A13" s="127" t="s">
        <v>52</v>
      </c>
      <c r="B13" s="270" t="s">
        <v>487</v>
      </c>
      <c r="C13" s="353" t="s">
        <v>498</v>
      </c>
      <c r="E13" s="327">
        <v>0</v>
      </c>
      <c r="F13" s="124"/>
      <c r="G13" s="124"/>
      <c r="H13" s="125"/>
      <c r="J13" s="352" t="s">
        <v>7</v>
      </c>
      <c r="K13" s="124"/>
      <c r="L13" s="281" t="s">
        <v>500</v>
      </c>
    </row>
    <row r="14" spans="1:12">
      <c r="A14" s="127" t="s">
        <v>487</v>
      </c>
      <c r="B14" s="276" t="s">
        <v>487</v>
      </c>
      <c r="C14" s="4"/>
      <c r="E14" s="327">
        <v>1837</v>
      </c>
      <c r="F14" s="124"/>
      <c r="G14" s="124"/>
      <c r="H14" s="125"/>
      <c r="J14" s="352" t="s">
        <v>7</v>
      </c>
      <c r="K14" s="124"/>
      <c r="L14" s="281" t="s">
        <v>500</v>
      </c>
    </row>
    <row r="15" spans="1:12" ht="15" thickBot="1">
      <c r="A15" s="127"/>
      <c r="B15" s="354"/>
      <c r="C15" s="4"/>
      <c r="F15" s="124"/>
      <c r="G15" s="124"/>
      <c r="H15" s="125"/>
      <c r="J15" s="352"/>
      <c r="K15" s="124"/>
      <c r="L15" s="281"/>
    </row>
    <row r="16" spans="1:12">
      <c r="A16" s="165" t="s">
        <v>7</v>
      </c>
      <c r="B16" s="15"/>
      <c r="C16" s="342" t="s">
        <v>578</v>
      </c>
      <c r="E16" s="355">
        <f>SUM(E5:E14)</f>
        <v>57068</v>
      </c>
      <c r="F16" s="124"/>
      <c r="G16" s="124"/>
      <c r="H16" s="125"/>
      <c r="J16" s="356"/>
      <c r="K16" s="356"/>
      <c r="L16" s="356"/>
    </row>
    <row r="17" spans="1:12">
      <c r="A17" s="221" t="s">
        <v>506</v>
      </c>
      <c r="B17" s="221"/>
      <c r="C17" s="221"/>
      <c r="F17" s="124"/>
      <c r="G17" s="124"/>
      <c r="H17" s="125"/>
      <c r="J17" s="356"/>
      <c r="K17" s="356"/>
      <c r="L17" s="356"/>
    </row>
    <row r="18" spans="1:12">
      <c r="A18" s="222" t="s">
        <v>507</v>
      </c>
      <c r="B18" s="200"/>
      <c r="C18" s="203"/>
      <c r="F18" s="124"/>
      <c r="G18" s="124"/>
      <c r="H18" s="125"/>
      <c r="J18" s="356"/>
      <c r="K18" s="356"/>
      <c r="L18" s="356"/>
    </row>
    <row r="19" spans="1:12">
      <c r="A19" s="222" t="s">
        <v>508</v>
      </c>
      <c r="B19" s="200"/>
      <c r="C19" s="203"/>
      <c r="F19" s="124"/>
      <c r="G19" s="124"/>
      <c r="H19" s="125"/>
      <c r="J19" s="356"/>
      <c r="K19" s="356"/>
      <c r="L19" s="356"/>
    </row>
    <row r="20" spans="1:12">
      <c r="A20" s="222" t="s">
        <v>509</v>
      </c>
      <c r="B20" s="200"/>
      <c r="C20" s="203"/>
      <c r="F20" s="124"/>
      <c r="G20" s="124"/>
      <c r="H20" s="125"/>
      <c r="J20" s="356"/>
      <c r="K20" s="356"/>
      <c r="L20" s="356"/>
    </row>
    <row r="21" spans="1:12">
      <c r="A21" s="222" t="s">
        <v>510</v>
      </c>
      <c r="B21" s="200"/>
      <c r="C21" s="203"/>
      <c r="F21" s="124"/>
      <c r="G21" s="124"/>
      <c r="H21" s="125"/>
      <c r="J21" s="356"/>
      <c r="K21" s="356"/>
      <c r="L21" s="356"/>
    </row>
    <row r="22" spans="1:12" ht="35.4">
      <c r="A22" s="223" t="s">
        <v>511</v>
      </c>
      <c r="B22" s="200"/>
      <c r="C22" s="203"/>
      <c r="F22" s="124"/>
      <c r="G22" s="124"/>
      <c r="H22" s="125"/>
      <c r="J22" s="356"/>
      <c r="K22" s="356"/>
      <c r="L22" s="356"/>
    </row>
    <row r="23" spans="1:12">
      <c r="A23" s="210" t="s">
        <v>512</v>
      </c>
      <c r="B23" s="200"/>
      <c r="C23" s="203"/>
      <c r="F23" s="124"/>
      <c r="G23" s="124"/>
      <c r="H23" s="125"/>
      <c r="J23" s="356"/>
      <c r="K23" s="356"/>
      <c r="L23" s="356"/>
    </row>
    <row r="24" spans="1:12">
      <c r="A24" s="210" t="s">
        <v>513</v>
      </c>
      <c r="B24" s="200"/>
      <c r="C24" s="203"/>
      <c r="F24" s="124"/>
      <c r="G24" s="124"/>
      <c r="H24" s="125"/>
      <c r="J24" s="356"/>
      <c r="K24" s="356"/>
      <c r="L24" s="356"/>
    </row>
    <row r="25" spans="1:12">
      <c r="A25" s="210" t="s">
        <v>514</v>
      </c>
      <c r="B25" s="200"/>
      <c r="C25" s="203"/>
      <c r="F25" s="124"/>
      <c r="G25" s="124"/>
      <c r="H25" s="125"/>
      <c r="J25" s="356"/>
      <c r="K25" s="356"/>
      <c r="L25" s="356"/>
    </row>
    <row r="27" spans="1:12">
      <c r="B27" s="204" t="s">
        <v>412</v>
      </c>
      <c r="C27" s="205"/>
      <c r="D27" s="205"/>
      <c r="E27" s="357"/>
      <c r="F27" s="205"/>
      <c r="G27" s="204" t="s">
        <v>413</v>
      </c>
      <c r="H27" s="205"/>
      <c r="I27" s="205"/>
      <c r="J27" s="205"/>
      <c r="K27" s="204" t="s">
        <v>414</v>
      </c>
    </row>
    <row r="28" spans="1:12" ht="72">
      <c r="A28" s="80" t="s">
        <v>581</v>
      </c>
      <c r="B28" s="358" t="s">
        <v>321</v>
      </c>
      <c r="C28" s="247" t="s">
        <v>515</v>
      </c>
      <c r="D28" s="55" t="s">
        <v>373</v>
      </c>
      <c r="F28" s="80" t="s">
        <v>494</v>
      </c>
      <c r="G28" s="55" t="s">
        <v>516</v>
      </c>
      <c r="H28" s="55" t="s">
        <v>373</v>
      </c>
      <c r="J28" s="80" t="s">
        <v>517</v>
      </c>
      <c r="K28" s="55" t="s">
        <v>518</v>
      </c>
      <c r="L28" s="55" t="s">
        <v>373</v>
      </c>
    </row>
    <row r="29" spans="1:12">
      <c r="A29" s="126" t="s">
        <v>380</v>
      </c>
      <c r="B29" s="359"/>
      <c r="C29" s="270" t="s">
        <v>487</v>
      </c>
      <c r="D29" s="115"/>
      <c r="F29" s="271" t="s">
        <v>380</v>
      </c>
      <c r="G29" s="350"/>
      <c r="H29" s="274"/>
      <c r="J29" s="271" t="s">
        <v>380</v>
      </c>
      <c r="K29" s="350"/>
      <c r="L29" s="274"/>
    </row>
    <row r="30" spans="1:12">
      <c r="A30" s="360">
        <v>1</v>
      </c>
      <c r="B30" s="361"/>
      <c r="C30" s="362" t="s">
        <v>456</v>
      </c>
      <c r="D30" s="56" t="s">
        <v>7</v>
      </c>
      <c r="E30" s="327">
        <v>30174</v>
      </c>
      <c r="F30" s="125"/>
      <c r="G30" s="125"/>
      <c r="H30" s="281" t="s">
        <v>7</v>
      </c>
      <c r="J30" s="125"/>
      <c r="K30" s="125"/>
      <c r="L30" s="281" t="s">
        <v>7</v>
      </c>
    </row>
    <row r="31" spans="1:12">
      <c r="A31" s="360">
        <v>2</v>
      </c>
      <c r="B31" s="361"/>
      <c r="C31" s="362" t="s">
        <v>457</v>
      </c>
      <c r="D31" s="56" t="s">
        <v>7</v>
      </c>
      <c r="E31" s="327">
        <v>1161</v>
      </c>
      <c r="F31" s="125"/>
      <c r="G31" s="125"/>
      <c r="H31" s="281" t="s">
        <v>7</v>
      </c>
      <c r="J31" s="125"/>
      <c r="K31" s="125"/>
      <c r="L31" s="281" t="s">
        <v>7</v>
      </c>
    </row>
    <row r="32" spans="1:12">
      <c r="A32" s="360">
        <v>3</v>
      </c>
      <c r="B32" s="361"/>
      <c r="C32" s="362" t="s">
        <v>457</v>
      </c>
      <c r="D32" s="56" t="s">
        <v>7</v>
      </c>
      <c r="E32" s="327">
        <v>5409</v>
      </c>
      <c r="F32" s="125"/>
      <c r="G32" s="125"/>
      <c r="H32" s="281" t="s">
        <v>7</v>
      </c>
      <c r="J32" s="125"/>
      <c r="K32" s="125"/>
      <c r="L32" s="281" t="s">
        <v>7</v>
      </c>
    </row>
    <row r="33" spans="1:12" ht="22.8">
      <c r="A33" s="126" t="s">
        <v>582</v>
      </c>
      <c r="B33" s="361"/>
      <c r="C33" s="126" t="s">
        <v>487</v>
      </c>
      <c r="D33" s="56" t="s">
        <v>7</v>
      </c>
      <c r="E33" s="327">
        <v>20324</v>
      </c>
      <c r="F33" s="125"/>
      <c r="G33" s="125"/>
      <c r="H33" s="281" t="s">
        <v>7</v>
      </c>
      <c r="J33" s="125"/>
      <c r="K33" s="125"/>
      <c r="L33" s="281" t="s">
        <v>7</v>
      </c>
    </row>
    <row r="34" spans="1:12">
      <c r="A34" s="360"/>
      <c r="B34" s="360"/>
      <c r="C34" s="362"/>
      <c r="D34" s="363"/>
      <c r="E34" s="327">
        <f>SUM(E30:E33)</f>
        <v>57068</v>
      </c>
      <c r="F34" s="344"/>
      <c r="G34" s="125"/>
      <c r="H34" s="281" t="s">
        <v>7</v>
      </c>
      <c r="J34" s="344"/>
      <c r="K34" s="125"/>
      <c r="L34" s="281" t="s">
        <v>7</v>
      </c>
    </row>
    <row r="35" spans="1:12">
      <c r="A35" s="360"/>
      <c r="B35" s="360"/>
      <c r="C35" s="362"/>
      <c r="D35" s="342"/>
      <c r="E35" s="364"/>
      <c r="F35" s="124"/>
      <c r="G35" s="124"/>
      <c r="H35" s="125"/>
      <c r="J35" s="124"/>
      <c r="K35" s="124"/>
      <c r="L35" s="125"/>
    </row>
    <row r="36" spans="1:12">
      <c r="A36" s="360"/>
      <c r="B36" s="360"/>
      <c r="C36" s="362"/>
      <c r="D36" s="342"/>
      <c r="F36" s="124"/>
      <c r="G36" s="124"/>
      <c r="H36" s="125"/>
      <c r="J36" s="124"/>
      <c r="K36" s="124"/>
      <c r="L36" s="125"/>
    </row>
    <row r="37" spans="1:12">
      <c r="A37" s="360"/>
      <c r="B37" s="360"/>
      <c r="C37" s="362"/>
      <c r="D37" s="342"/>
      <c r="F37" s="124"/>
      <c r="G37" s="124"/>
      <c r="H37" s="125"/>
      <c r="J37" s="124"/>
      <c r="K37" s="124"/>
      <c r="L37" s="125"/>
    </row>
    <row r="38" spans="1:12">
      <c r="A38" s="360"/>
      <c r="B38" s="360"/>
      <c r="C38" s="362"/>
      <c r="D38" s="342"/>
      <c r="F38" s="124"/>
      <c r="G38" s="124"/>
      <c r="H38" s="125"/>
      <c r="J38" s="124"/>
      <c r="K38" s="124"/>
      <c r="L38" s="125"/>
    </row>
    <row r="39" spans="1:12">
      <c r="A39" s="360"/>
      <c r="B39" s="365"/>
      <c r="C39" s="276"/>
      <c r="D39" s="342"/>
      <c r="F39" s="124"/>
      <c r="G39" s="124"/>
      <c r="H39" s="125"/>
      <c r="J39" s="124"/>
      <c r="K39" s="124"/>
      <c r="L39" s="125"/>
    </row>
    <row r="40" spans="1:12">
      <c r="A40" s="360"/>
      <c r="B40" s="360"/>
      <c r="C40" s="270"/>
      <c r="D40" s="342"/>
      <c r="F40" s="124"/>
      <c r="G40" s="124"/>
      <c r="H40" s="125"/>
      <c r="J40" s="124"/>
      <c r="K40" s="124"/>
      <c r="L40" s="125"/>
    </row>
    <row r="41" spans="1:12">
      <c r="A41" s="360"/>
      <c r="B41" s="360"/>
      <c r="C41" s="276"/>
      <c r="D41" s="342"/>
      <c r="F41" s="124"/>
      <c r="G41" s="124"/>
      <c r="H41" s="125"/>
      <c r="J41" s="124"/>
      <c r="K41" s="124"/>
      <c r="L41" s="125"/>
    </row>
    <row r="42" spans="1:12">
      <c r="A42" s="360"/>
      <c r="B42" s="366"/>
      <c r="C42" s="276"/>
      <c r="D42" s="342"/>
      <c r="F42" s="124"/>
      <c r="G42" s="124"/>
      <c r="H42" s="125"/>
      <c r="J42" s="124"/>
      <c r="K42" s="124"/>
      <c r="L42" s="125"/>
    </row>
    <row r="43" spans="1:12">
      <c r="A43" s="13"/>
      <c r="B43" s="367"/>
      <c r="C43" s="368"/>
      <c r="D43" s="342"/>
      <c r="E43" s="364"/>
      <c r="F43" s="124"/>
      <c r="G43" s="124"/>
      <c r="H43" s="125"/>
      <c r="J43" s="124"/>
      <c r="K43" s="124"/>
      <c r="L43" s="125"/>
    </row>
    <row r="44" spans="1:12">
      <c r="A44" s="369"/>
      <c r="B44" s="370" t="s">
        <v>506</v>
      </c>
      <c r="C44" s="371" t="s">
        <v>583</v>
      </c>
      <c r="D44" s="369"/>
      <c r="F44" s="124"/>
      <c r="G44" s="124"/>
      <c r="H44" s="125"/>
      <c r="J44" s="124"/>
      <c r="K44" s="124"/>
      <c r="L44" s="125"/>
    </row>
    <row r="45" spans="1:12">
      <c r="A45" s="156"/>
      <c r="B45" s="372" t="s">
        <v>507</v>
      </c>
      <c r="C45" s="373" t="s">
        <v>584</v>
      </c>
      <c r="D45" s="156"/>
      <c r="F45" s="124"/>
      <c r="G45" s="124"/>
      <c r="H45" s="125"/>
      <c r="J45" s="124"/>
      <c r="K45" s="124"/>
      <c r="L45" s="125"/>
    </row>
    <row r="46" spans="1:12">
      <c r="A46" s="156"/>
      <c r="B46" s="372" t="s">
        <v>508</v>
      </c>
      <c r="C46" s="373" t="s">
        <v>585</v>
      </c>
      <c r="D46" s="156"/>
      <c r="F46" s="124"/>
      <c r="G46" s="124"/>
      <c r="H46" s="125"/>
      <c r="J46" s="124"/>
      <c r="K46" s="124"/>
      <c r="L46" s="125"/>
    </row>
    <row r="47" spans="1:12">
      <c r="A47" s="156"/>
      <c r="B47" s="372" t="s">
        <v>509</v>
      </c>
      <c r="C47" s="373" t="s">
        <v>586</v>
      </c>
      <c r="D47" s="156"/>
      <c r="F47" s="124"/>
      <c r="G47" s="124"/>
      <c r="H47" s="125"/>
      <c r="J47" s="124"/>
      <c r="K47" s="124"/>
      <c r="L47" s="125"/>
    </row>
    <row r="48" spans="1:12">
      <c r="A48" s="374"/>
      <c r="B48" s="372" t="s">
        <v>510</v>
      </c>
      <c r="C48" s="314"/>
      <c r="D48" s="315"/>
      <c r="F48" s="124"/>
      <c r="G48" s="124"/>
      <c r="H48" s="125"/>
      <c r="J48" s="124"/>
      <c r="K48" s="124"/>
      <c r="L48" s="125"/>
    </row>
    <row r="49" spans="1:16" ht="35.4">
      <c r="A49" s="374"/>
      <c r="B49" s="375" t="s">
        <v>511</v>
      </c>
      <c r="C49" s="314"/>
      <c r="D49" s="315"/>
    </row>
    <row r="50" spans="1:16">
      <c r="A50" s="374"/>
      <c r="B50" s="376" t="s">
        <v>512</v>
      </c>
      <c r="C50" s="314"/>
      <c r="D50" s="315"/>
    </row>
    <row r="51" spans="1:16">
      <c r="A51" s="374"/>
      <c r="B51" s="376" t="s">
        <v>513</v>
      </c>
      <c r="C51" s="314"/>
      <c r="D51" s="315"/>
    </row>
    <row r="52" spans="1:16">
      <c r="A52" s="374"/>
      <c r="B52" s="376" t="s">
        <v>514</v>
      </c>
      <c r="C52" s="314"/>
      <c r="D52" s="315"/>
    </row>
    <row r="62" spans="1:16">
      <c r="A62" s="381"/>
      <c r="B62" s="381"/>
      <c r="C62" s="381"/>
      <c r="D62" s="381"/>
      <c r="E62" s="381"/>
      <c r="F62" s="381"/>
      <c r="G62" s="381"/>
      <c r="H62" s="381"/>
      <c r="I62" s="381"/>
      <c r="J62" s="381"/>
      <c r="K62" s="381"/>
      <c r="L62" s="381"/>
      <c r="M62" s="381"/>
      <c r="N62" s="381"/>
      <c r="O62" s="381"/>
      <c r="P62" s="381"/>
    </row>
  </sheetData>
  <mergeCells count="1">
    <mergeCell ref="A62:P62"/>
  </mergeCells>
  <hyperlinks>
    <hyperlink ref="C3" location="'TABLE C ASSOC FIELDS'!K27" display="Return to Mapping" xr:uid="{672FA16F-E3CD-430D-AD21-E0B13C7200A2}"/>
    <hyperlink ref="H3" location="'TABLE C ASSOC FIELDS'!K27" display="Return to Mapping" xr:uid="{C0552723-66CB-46DE-8D59-48B122B8EDAE}"/>
  </hyperlinks>
  <pageMargins left="0.7" right="0.7" top="0.75" bottom="0.75" header="0.3" footer="0.3"/>
  <pageSetup scale="55" orientation="portrait" r:id="rId1"/>
  <headerFooter>
    <oddHeader>&amp;LRefinitiv&amp;CDEMO Reverse Mapping 
&amp;A&amp;RNew Installations - Conversions</oddHeader>
    <oddFooter>&amp;LConfidential&amp;RPage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103"/>
  <sheetViews>
    <sheetView zoomScaleNormal="100" zoomScaleSheetLayoutView="100" zoomScalePageLayoutView="90" workbookViewId="0">
      <pane xSplit="1" ySplit="1" topLeftCell="B2" activePane="bottomRight" state="frozen"/>
      <selection pane="topRight" activeCell="B1" sqref="B1"/>
      <selection pane="bottomLeft" activeCell="A2" sqref="A2"/>
      <selection pane="bottomRight" activeCell="Q1" sqref="Q1:Q1048576"/>
    </sheetView>
  </sheetViews>
  <sheetFormatPr defaultColWidth="9.21875" defaultRowHeight="12"/>
  <cols>
    <col min="1" max="1" width="4" style="5" bestFit="1" customWidth="1"/>
    <col min="2" max="2" width="6.77734375" style="6" customWidth="1"/>
    <col min="3" max="3" width="7.21875" style="6" customWidth="1"/>
    <col min="4" max="4" width="5" style="32" bestFit="1" customWidth="1"/>
    <col min="5" max="5" width="8.21875" style="6" customWidth="1"/>
    <col min="6" max="6" width="10.21875" style="6" customWidth="1"/>
    <col min="7" max="7" width="30.21875" style="10" bestFit="1" customWidth="1"/>
    <col min="8" max="8" width="58.21875" style="10" customWidth="1"/>
    <col min="9" max="9" width="27.21875" style="10" customWidth="1"/>
    <col min="10" max="10" width="4.44140625" style="6" customWidth="1"/>
    <col min="11" max="13" width="34.5546875" style="6" customWidth="1"/>
    <col min="14" max="15" width="37.5546875" style="33" customWidth="1"/>
    <col min="16" max="16" width="48.21875" style="5" customWidth="1"/>
    <col min="17" max="17" width="20.21875" style="5" customWidth="1"/>
    <col min="18" max="16384" width="9.21875" style="5"/>
  </cols>
  <sheetData>
    <row r="1" spans="1:17" s="31" customFormat="1" ht="62.25" customHeight="1">
      <c r="A1" s="26"/>
      <c r="B1" s="9" t="s">
        <v>519</v>
      </c>
      <c r="C1" s="9" t="s">
        <v>25</v>
      </c>
      <c r="D1" s="9" t="s">
        <v>520</v>
      </c>
      <c r="E1" s="8" t="s">
        <v>28</v>
      </c>
      <c r="F1" s="8" t="s">
        <v>29</v>
      </c>
      <c r="G1" s="9" t="s">
        <v>30</v>
      </c>
      <c r="H1" s="9" t="s">
        <v>521</v>
      </c>
      <c r="I1" s="9" t="s">
        <v>522</v>
      </c>
      <c r="J1" s="9" t="s">
        <v>36</v>
      </c>
      <c r="K1" s="100" t="s">
        <v>556</v>
      </c>
      <c r="L1" s="100" t="s">
        <v>555</v>
      </c>
      <c r="M1" s="100" t="s">
        <v>523</v>
      </c>
      <c r="N1" s="100" t="s">
        <v>524</v>
      </c>
      <c r="O1" s="100" t="s">
        <v>525</v>
      </c>
      <c r="P1" s="100" t="s">
        <v>526</v>
      </c>
      <c r="Q1" s="81" t="s">
        <v>527</v>
      </c>
    </row>
    <row r="2" spans="1:17">
      <c r="A2" s="2">
        <v>1</v>
      </c>
      <c r="B2" s="3"/>
      <c r="C2" s="3"/>
      <c r="D2" s="15">
        <v>1</v>
      </c>
      <c r="E2" s="62" t="s">
        <v>44</v>
      </c>
      <c r="F2" s="63" t="s">
        <v>7</v>
      </c>
      <c r="G2" s="1" t="s">
        <v>528</v>
      </c>
      <c r="H2" s="64"/>
      <c r="I2" s="11"/>
      <c r="J2" s="74" t="s">
        <v>46</v>
      </c>
      <c r="K2" s="192" t="s">
        <v>47</v>
      </c>
      <c r="L2" s="192" t="s">
        <v>47</v>
      </c>
      <c r="M2" s="192" t="s">
        <v>47</v>
      </c>
      <c r="N2" s="192" t="s">
        <v>47</v>
      </c>
      <c r="O2" s="148" t="s">
        <v>7</v>
      </c>
      <c r="P2" s="101" t="s">
        <v>7</v>
      </c>
    </row>
    <row r="3" spans="1:17" ht="51">
      <c r="A3" s="2">
        <v>2</v>
      </c>
      <c r="B3" s="3"/>
      <c r="C3" s="3"/>
      <c r="D3" s="15">
        <v>51</v>
      </c>
      <c r="E3" s="62" t="s">
        <v>48</v>
      </c>
      <c r="F3" s="63" t="s">
        <v>7</v>
      </c>
      <c r="G3" s="14" t="s">
        <v>49</v>
      </c>
      <c r="H3" s="64" t="s">
        <v>50</v>
      </c>
      <c r="I3" s="11"/>
      <c r="J3" s="75" t="s">
        <v>52</v>
      </c>
      <c r="K3" s="193" t="s">
        <v>47</v>
      </c>
      <c r="L3" s="193" t="s">
        <v>47</v>
      </c>
      <c r="M3" s="193" t="s">
        <v>47</v>
      </c>
      <c r="N3" s="193" t="s">
        <v>47</v>
      </c>
      <c r="O3" s="163" t="s">
        <v>47</v>
      </c>
      <c r="P3" s="101" t="s">
        <v>529</v>
      </c>
    </row>
    <row r="4" spans="1:17" ht="91.2">
      <c r="A4" s="2">
        <v>3</v>
      </c>
      <c r="B4" s="3"/>
      <c r="C4" s="3"/>
      <c r="D4" s="15">
        <v>59</v>
      </c>
      <c r="E4" s="62" t="s">
        <v>48</v>
      </c>
      <c r="F4" s="63" t="s">
        <v>53</v>
      </c>
      <c r="G4" s="1" t="s">
        <v>54</v>
      </c>
      <c r="H4" s="64" t="s">
        <v>55</v>
      </c>
      <c r="I4" s="11"/>
      <c r="J4" s="75" t="s">
        <v>46</v>
      </c>
      <c r="K4" s="101" t="s">
        <v>58</v>
      </c>
      <c r="L4" s="101" t="s">
        <v>58</v>
      </c>
      <c r="M4" s="261" t="s">
        <v>530</v>
      </c>
      <c r="N4" s="194" t="s">
        <v>531</v>
      </c>
      <c r="O4" s="1" t="s">
        <v>532</v>
      </c>
      <c r="P4" s="101" t="s">
        <v>533</v>
      </c>
    </row>
    <row r="5" spans="1:17" ht="61.2">
      <c r="A5" s="2">
        <v>4</v>
      </c>
      <c r="B5" s="3"/>
      <c r="C5" s="3" t="s">
        <v>7</v>
      </c>
      <c r="D5" s="15">
        <v>67</v>
      </c>
      <c r="E5" s="62" t="s">
        <v>18</v>
      </c>
      <c r="F5" s="63" t="s">
        <v>59</v>
      </c>
      <c r="G5" s="14" t="s">
        <v>60</v>
      </c>
      <c r="H5" s="64" t="s">
        <v>61</v>
      </c>
      <c r="I5" s="11" t="s">
        <v>7</v>
      </c>
      <c r="J5" s="75" t="s">
        <v>46</v>
      </c>
      <c r="K5" s="194" t="s">
        <v>62</v>
      </c>
      <c r="L5" s="194" t="s">
        <v>62</v>
      </c>
      <c r="M5" s="194" t="s">
        <v>62</v>
      </c>
      <c r="N5" s="194" t="s">
        <v>62</v>
      </c>
      <c r="O5" s="14" t="s">
        <v>62</v>
      </c>
      <c r="P5" s="101" t="s">
        <v>534</v>
      </c>
    </row>
    <row r="6" spans="1:17" ht="22.8">
      <c r="A6" s="2">
        <v>5</v>
      </c>
      <c r="B6" s="3"/>
      <c r="C6" s="3"/>
      <c r="D6" s="15">
        <v>68</v>
      </c>
      <c r="E6" s="15" t="s">
        <v>18</v>
      </c>
      <c r="F6" s="63" t="s">
        <v>64</v>
      </c>
      <c r="G6" s="1" t="s">
        <v>65</v>
      </c>
      <c r="H6" s="64" t="s">
        <v>66</v>
      </c>
      <c r="I6" s="11" t="s">
        <v>7</v>
      </c>
      <c r="J6" s="75" t="s">
        <v>46</v>
      </c>
      <c r="K6" s="194" t="s">
        <v>327</v>
      </c>
      <c r="L6" s="194" t="s">
        <v>327</v>
      </c>
      <c r="M6" s="194" t="s">
        <v>327</v>
      </c>
      <c r="N6" s="194" t="s">
        <v>62</v>
      </c>
      <c r="O6" s="1" t="s">
        <v>68</v>
      </c>
      <c r="P6" s="102" t="s">
        <v>535</v>
      </c>
    </row>
    <row r="7" spans="1:17" ht="22.8">
      <c r="A7" s="2">
        <v>6</v>
      </c>
      <c r="B7" s="3"/>
      <c r="C7" s="3"/>
      <c r="D7" s="15">
        <v>98</v>
      </c>
      <c r="E7" s="62" t="s">
        <v>63</v>
      </c>
      <c r="F7" s="63" t="s">
        <v>70</v>
      </c>
      <c r="G7" s="14" t="s">
        <v>71</v>
      </c>
      <c r="H7" s="64" t="s">
        <v>72</v>
      </c>
      <c r="I7" s="11" t="s">
        <v>7</v>
      </c>
      <c r="J7" s="75" t="s">
        <v>46</v>
      </c>
      <c r="K7" s="194" t="s">
        <v>327</v>
      </c>
      <c r="L7" s="194" t="s">
        <v>327</v>
      </c>
      <c r="M7" s="194" t="s">
        <v>327</v>
      </c>
      <c r="N7" s="194" t="s">
        <v>62</v>
      </c>
      <c r="O7" s="1" t="s">
        <v>74</v>
      </c>
      <c r="P7" s="101" t="s">
        <v>536</v>
      </c>
    </row>
    <row r="8" spans="1:17" ht="22.8">
      <c r="A8" s="2">
        <v>7</v>
      </c>
      <c r="B8" s="3"/>
      <c r="C8" s="3"/>
      <c r="D8" s="15">
        <v>128</v>
      </c>
      <c r="E8" s="62" t="s">
        <v>63</v>
      </c>
      <c r="F8" s="63" t="s">
        <v>76</v>
      </c>
      <c r="G8" s="1" t="s">
        <v>77</v>
      </c>
      <c r="H8" s="64" t="s">
        <v>78</v>
      </c>
      <c r="I8" s="11" t="s">
        <v>7</v>
      </c>
      <c r="J8" s="75" t="s">
        <v>46</v>
      </c>
      <c r="K8" s="194" t="s">
        <v>327</v>
      </c>
      <c r="L8" s="194" t="s">
        <v>327</v>
      </c>
      <c r="M8" s="194" t="s">
        <v>327</v>
      </c>
      <c r="N8" s="194" t="s">
        <v>62</v>
      </c>
      <c r="O8" s="1" t="s">
        <v>80</v>
      </c>
      <c r="P8" s="101" t="s">
        <v>537</v>
      </c>
    </row>
    <row r="9" spans="1:17" ht="30.6">
      <c r="A9" s="2">
        <v>8</v>
      </c>
      <c r="B9" s="3"/>
      <c r="C9" s="3"/>
      <c r="D9" s="15">
        <v>158</v>
      </c>
      <c r="E9" s="62" t="s">
        <v>82</v>
      </c>
      <c r="F9" s="63" t="s">
        <v>83</v>
      </c>
      <c r="G9" s="14" t="s">
        <v>84</v>
      </c>
      <c r="H9" s="64" t="s">
        <v>85</v>
      </c>
      <c r="I9" s="11" t="s">
        <v>7</v>
      </c>
      <c r="J9" s="76" t="s">
        <v>46</v>
      </c>
      <c r="K9" s="194" t="s">
        <v>327</v>
      </c>
      <c r="L9" s="194" t="s">
        <v>327</v>
      </c>
      <c r="M9" s="194" t="s">
        <v>327</v>
      </c>
      <c r="N9" s="194" t="s">
        <v>62</v>
      </c>
      <c r="O9" s="1" t="s">
        <v>87</v>
      </c>
      <c r="P9" s="101" t="s">
        <v>538</v>
      </c>
    </row>
    <row r="10" spans="1:17" ht="22.8">
      <c r="A10" s="2">
        <v>9</v>
      </c>
      <c r="B10" s="3"/>
      <c r="C10" s="3"/>
      <c r="D10" s="15">
        <v>160</v>
      </c>
      <c r="E10" s="62" t="s">
        <v>89</v>
      </c>
      <c r="F10" s="63" t="s">
        <v>7</v>
      </c>
      <c r="G10" s="14" t="s">
        <v>90</v>
      </c>
      <c r="H10" s="64" t="s">
        <v>91</v>
      </c>
      <c r="I10" s="11" t="s">
        <v>7</v>
      </c>
      <c r="J10" s="75" t="s">
        <v>46</v>
      </c>
      <c r="K10" s="194" t="s">
        <v>327</v>
      </c>
      <c r="L10" s="194" t="s">
        <v>327</v>
      </c>
      <c r="M10" s="194" t="s">
        <v>327</v>
      </c>
      <c r="N10" s="194" t="s">
        <v>62</v>
      </c>
      <c r="O10" s="1" t="s">
        <v>93</v>
      </c>
      <c r="P10" s="101" t="s">
        <v>539</v>
      </c>
    </row>
    <row r="11" spans="1:17" ht="22.8">
      <c r="A11" s="2">
        <v>10</v>
      </c>
      <c r="B11" s="3"/>
      <c r="C11" s="3"/>
      <c r="D11" s="15">
        <v>165</v>
      </c>
      <c r="E11" s="15" t="s">
        <v>89</v>
      </c>
      <c r="F11" s="63" t="s">
        <v>7</v>
      </c>
      <c r="G11" s="14" t="s">
        <v>95</v>
      </c>
      <c r="H11" s="64" t="s">
        <v>96</v>
      </c>
      <c r="I11" s="11" t="s">
        <v>7</v>
      </c>
      <c r="J11" s="75" t="s">
        <v>46</v>
      </c>
      <c r="K11" s="194" t="s">
        <v>327</v>
      </c>
      <c r="L11" s="194" t="s">
        <v>327</v>
      </c>
      <c r="M11" s="194" t="s">
        <v>327</v>
      </c>
      <c r="N11" s="194" t="s">
        <v>62</v>
      </c>
      <c r="O11" s="1" t="s">
        <v>98</v>
      </c>
      <c r="P11" s="101" t="s">
        <v>540</v>
      </c>
    </row>
    <row r="12" spans="1:17" ht="71.400000000000006">
      <c r="A12" s="2">
        <v>11</v>
      </c>
      <c r="B12" s="3"/>
      <c r="C12" s="3"/>
      <c r="D12" s="15">
        <v>170</v>
      </c>
      <c r="E12" s="15" t="s">
        <v>18</v>
      </c>
      <c r="F12" s="63" t="s">
        <v>99</v>
      </c>
      <c r="G12" s="1" t="s">
        <v>100</v>
      </c>
      <c r="H12" s="64" t="s">
        <v>101</v>
      </c>
      <c r="I12" s="11" t="s">
        <v>7</v>
      </c>
      <c r="J12" s="75" t="s">
        <v>46</v>
      </c>
      <c r="K12" s="194" t="s">
        <v>327</v>
      </c>
      <c r="L12" s="194" t="s">
        <v>327</v>
      </c>
      <c r="M12" s="194" t="s">
        <v>327</v>
      </c>
      <c r="N12" s="194" t="s">
        <v>62</v>
      </c>
      <c r="O12" s="14" t="s">
        <v>62</v>
      </c>
      <c r="P12" s="101" t="s">
        <v>534</v>
      </c>
    </row>
    <row r="13" spans="1:17" ht="122.4">
      <c r="A13" s="2">
        <v>12</v>
      </c>
      <c r="B13" s="3"/>
      <c r="C13" s="3"/>
      <c r="D13" s="15">
        <v>171</v>
      </c>
      <c r="E13" s="15" t="s">
        <v>18</v>
      </c>
      <c r="F13" s="63" t="s">
        <v>102</v>
      </c>
      <c r="G13" s="1" t="s">
        <v>103</v>
      </c>
      <c r="H13" s="64" t="s">
        <v>104</v>
      </c>
      <c r="I13" s="11" t="s">
        <v>7</v>
      </c>
      <c r="J13" s="75" t="s">
        <v>46</v>
      </c>
      <c r="K13" s="194" t="s">
        <v>327</v>
      </c>
      <c r="L13" s="194" t="s">
        <v>327</v>
      </c>
      <c r="M13" s="194" t="s">
        <v>327</v>
      </c>
      <c r="N13" s="194" t="s">
        <v>62</v>
      </c>
      <c r="O13" s="14" t="s">
        <v>62</v>
      </c>
      <c r="P13" s="101" t="s">
        <v>534</v>
      </c>
    </row>
    <row r="14" spans="1:17" ht="30.6">
      <c r="A14" s="2">
        <v>13</v>
      </c>
      <c r="B14" s="3"/>
      <c r="C14" s="3"/>
      <c r="D14" s="15">
        <v>172</v>
      </c>
      <c r="E14" s="15" t="s">
        <v>107</v>
      </c>
      <c r="F14" s="63" t="s">
        <v>108</v>
      </c>
      <c r="G14" s="1" t="s">
        <v>109</v>
      </c>
      <c r="H14" s="64" t="s">
        <v>110</v>
      </c>
      <c r="I14" s="11" t="s">
        <v>7</v>
      </c>
      <c r="J14" s="75" t="s">
        <v>46</v>
      </c>
      <c r="K14" s="194" t="s">
        <v>327</v>
      </c>
      <c r="L14" s="194" t="s">
        <v>327</v>
      </c>
      <c r="M14" s="194" t="s">
        <v>327</v>
      </c>
      <c r="N14" s="194" t="s">
        <v>62</v>
      </c>
      <c r="O14" s="14" t="s">
        <v>62</v>
      </c>
      <c r="P14" s="101" t="s">
        <v>534</v>
      </c>
    </row>
    <row r="15" spans="1:17" ht="20.399999999999999">
      <c r="A15" s="2">
        <v>14</v>
      </c>
      <c r="B15" s="3"/>
      <c r="C15" s="3"/>
      <c r="D15" s="15">
        <v>174</v>
      </c>
      <c r="E15" s="15" t="s">
        <v>48</v>
      </c>
      <c r="F15" s="63" t="s">
        <v>7</v>
      </c>
      <c r="G15" s="1" t="s">
        <v>111</v>
      </c>
      <c r="H15" s="64" t="s">
        <v>112</v>
      </c>
      <c r="I15" s="11" t="s">
        <v>7</v>
      </c>
      <c r="J15" s="75" t="s">
        <v>46</v>
      </c>
      <c r="K15" s="194" t="s">
        <v>327</v>
      </c>
      <c r="L15" s="194" t="s">
        <v>327</v>
      </c>
      <c r="M15" s="194" t="s">
        <v>327</v>
      </c>
      <c r="N15" s="194" t="s">
        <v>62</v>
      </c>
      <c r="O15" s="14" t="s">
        <v>62</v>
      </c>
      <c r="P15" s="101" t="s">
        <v>534</v>
      </c>
    </row>
    <row r="16" spans="1:17" ht="20.399999999999999">
      <c r="A16" s="2">
        <v>15</v>
      </c>
      <c r="B16" s="3"/>
      <c r="C16" s="3"/>
      <c r="D16" s="15">
        <v>182</v>
      </c>
      <c r="E16" s="15" t="s">
        <v>63</v>
      </c>
      <c r="F16" s="63" t="s">
        <v>7</v>
      </c>
      <c r="G16" s="1" t="s">
        <v>113</v>
      </c>
      <c r="H16" s="64" t="s">
        <v>114</v>
      </c>
      <c r="I16" s="11" t="s">
        <v>7</v>
      </c>
      <c r="J16" s="75" t="s">
        <v>46</v>
      </c>
      <c r="K16" s="194" t="s">
        <v>327</v>
      </c>
      <c r="L16" s="194" t="s">
        <v>327</v>
      </c>
      <c r="M16" s="194" t="s">
        <v>327</v>
      </c>
      <c r="N16" s="194" t="s">
        <v>62</v>
      </c>
      <c r="O16" s="14" t="s">
        <v>62</v>
      </c>
      <c r="P16" s="101" t="s">
        <v>534</v>
      </c>
    </row>
    <row r="17" spans="1:16" ht="20.399999999999999">
      <c r="A17" s="2">
        <v>16</v>
      </c>
      <c r="B17" s="3"/>
      <c r="C17" s="3"/>
      <c r="D17" s="15">
        <v>212</v>
      </c>
      <c r="E17" s="15" t="s">
        <v>63</v>
      </c>
      <c r="F17" s="63"/>
      <c r="G17" s="1" t="s">
        <v>115</v>
      </c>
      <c r="H17" s="64" t="s">
        <v>116</v>
      </c>
      <c r="I17" s="11" t="s">
        <v>7</v>
      </c>
      <c r="J17" s="75" t="s">
        <v>46</v>
      </c>
      <c r="K17" s="194" t="s">
        <v>327</v>
      </c>
      <c r="L17" s="194" t="s">
        <v>327</v>
      </c>
      <c r="M17" s="194" t="s">
        <v>327</v>
      </c>
      <c r="N17" s="194" t="s">
        <v>62</v>
      </c>
      <c r="O17" s="14" t="s">
        <v>62</v>
      </c>
      <c r="P17" s="101" t="s">
        <v>534</v>
      </c>
    </row>
    <row r="18" spans="1:16" ht="20.399999999999999">
      <c r="A18" s="2">
        <v>17</v>
      </c>
      <c r="B18" s="3"/>
      <c r="C18" s="3"/>
      <c r="D18" s="15">
        <v>242</v>
      </c>
      <c r="E18" s="15" t="s">
        <v>63</v>
      </c>
      <c r="F18" s="63"/>
      <c r="G18" s="1" t="s">
        <v>117</v>
      </c>
      <c r="H18" s="64" t="s">
        <v>118</v>
      </c>
      <c r="I18" s="11" t="s">
        <v>7</v>
      </c>
      <c r="J18" s="75" t="s">
        <v>46</v>
      </c>
      <c r="K18" s="194" t="s">
        <v>327</v>
      </c>
      <c r="L18" s="194" t="s">
        <v>327</v>
      </c>
      <c r="M18" s="194" t="s">
        <v>327</v>
      </c>
      <c r="N18" s="194" t="s">
        <v>62</v>
      </c>
      <c r="O18" s="14" t="s">
        <v>62</v>
      </c>
      <c r="P18" s="101" t="s">
        <v>534</v>
      </c>
    </row>
    <row r="19" spans="1:16" ht="20.399999999999999">
      <c r="A19" s="2">
        <v>18</v>
      </c>
      <c r="B19" s="3"/>
      <c r="C19" s="3"/>
      <c r="D19" s="15">
        <v>272</v>
      </c>
      <c r="E19" s="15" t="s">
        <v>82</v>
      </c>
      <c r="F19" s="63"/>
      <c r="G19" s="1" t="s">
        <v>119</v>
      </c>
      <c r="H19" s="64" t="s">
        <v>120</v>
      </c>
      <c r="I19" s="11" t="s">
        <v>7</v>
      </c>
      <c r="J19" s="75" t="s">
        <v>46</v>
      </c>
      <c r="K19" s="194" t="s">
        <v>327</v>
      </c>
      <c r="L19" s="194" t="s">
        <v>327</v>
      </c>
      <c r="M19" s="194" t="s">
        <v>327</v>
      </c>
      <c r="N19" s="194" t="s">
        <v>62</v>
      </c>
      <c r="O19" s="14" t="s">
        <v>62</v>
      </c>
      <c r="P19" s="101" t="s">
        <v>534</v>
      </c>
    </row>
    <row r="20" spans="1:16">
      <c r="A20" s="2">
        <v>19</v>
      </c>
      <c r="B20" s="3"/>
      <c r="C20" s="3"/>
      <c r="D20" s="15">
        <v>274</v>
      </c>
      <c r="E20" s="15" t="s">
        <v>89</v>
      </c>
      <c r="F20" s="63"/>
      <c r="G20" s="14" t="s">
        <v>121</v>
      </c>
      <c r="H20" s="64" t="s">
        <v>122</v>
      </c>
      <c r="I20" s="11" t="s">
        <v>7</v>
      </c>
      <c r="J20" s="75" t="s">
        <v>46</v>
      </c>
      <c r="K20" s="194" t="s">
        <v>327</v>
      </c>
      <c r="L20" s="194" t="s">
        <v>327</v>
      </c>
      <c r="M20" s="194" t="s">
        <v>327</v>
      </c>
      <c r="N20" s="194" t="s">
        <v>62</v>
      </c>
      <c r="O20" s="14" t="s">
        <v>62</v>
      </c>
      <c r="P20" s="101" t="s">
        <v>534</v>
      </c>
    </row>
    <row r="21" spans="1:16">
      <c r="A21" s="2">
        <v>20</v>
      </c>
      <c r="B21" s="3"/>
      <c r="C21" s="3"/>
      <c r="D21" s="15">
        <v>279</v>
      </c>
      <c r="E21" s="62" t="s">
        <v>89</v>
      </c>
      <c r="F21" s="63"/>
      <c r="G21" s="14" t="s">
        <v>123</v>
      </c>
      <c r="H21" s="64" t="s">
        <v>124</v>
      </c>
      <c r="I21" s="11" t="s">
        <v>7</v>
      </c>
      <c r="J21" s="75" t="s">
        <v>46</v>
      </c>
      <c r="K21" s="194" t="s">
        <v>327</v>
      </c>
      <c r="L21" s="194" t="s">
        <v>327</v>
      </c>
      <c r="M21" s="194" t="s">
        <v>327</v>
      </c>
      <c r="N21" s="194" t="s">
        <v>62</v>
      </c>
      <c r="O21" s="14" t="s">
        <v>62</v>
      </c>
      <c r="P21" s="101" t="s">
        <v>534</v>
      </c>
    </row>
    <row r="22" spans="1:16" ht="71.400000000000006">
      <c r="A22" s="2">
        <v>21</v>
      </c>
      <c r="B22" s="3"/>
      <c r="C22" s="3"/>
      <c r="D22" s="15">
        <v>284</v>
      </c>
      <c r="E22" s="62" t="s">
        <v>18</v>
      </c>
      <c r="F22" s="63"/>
      <c r="G22" s="14" t="s">
        <v>125</v>
      </c>
      <c r="H22" s="64" t="s">
        <v>126</v>
      </c>
      <c r="I22" s="11" t="s">
        <v>7</v>
      </c>
      <c r="J22" s="75" t="s">
        <v>46</v>
      </c>
      <c r="K22" s="194" t="s">
        <v>327</v>
      </c>
      <c r="L22" s="194" t="s">
        <v>327</v>
      </c>
      <c r="M22" s="194" t="s">
        <v>327</v>
      </c>
      <c r="N22" s="194" t="s">
        <v>62</v>
      </c>
      <c r="O22" s="14" t="s">
        <v>62</v>
      </c>
      <c r="P22" s="101" t="s">
        <v>534</v>
      </c>
    </row>
    <row r="23" spans="1:16" ht="102">
      <c r="A23" s="2">
        <v>22</v>
      </c>
      <c r="B23" s="3"/>
      <c r="C23" s="3"/>
      <c r="D23" s="62">
        <v>285</v>
      </c>
      <c r="E23" s="15" t="s">
        <v>18</v>
      </c>
      <c r="F23" s="63"/>
      <c r="G23" s="1" t="s">
        <v>127</v>
      </c>
      <c r="H23" s="64" t="s">
        <v>128</v>
      </c>
      <c r="I23" s="11" t="s">
        <v>7</v>
      </c>
      <c r="J23" s="75" t="s">
        <v>46</v>
      </c>
      <c r="K23" s="194" t="s">
        <v>327</v>
      </c>
      <c r="L23" s="194" t="s">
        <v>327</v>
      </c>
      <c r="M23" s="194" t="s">
        <v>327</v>
      </c>
      <c r="N23" s="194" t="s">
        <v>62</v>
      </c>
      <c r="O23" s="14" t="s">
        <v>62</v>
      </c>
      <c r="P23" s="101" t="s">
        <v>534</v>
      </c>
    </row>
    <row r="24" spans="1:16" ht="20.399999999999999">
      <c r="A24" s="2">
        <v>23</v>
      </c>
      <c r="B24" s="3"/>
      <c r="C24" s="3"/>
      <c r="D24" s="15">
        <v>286</v>
      </c>
      <c r="E24" s="62" t="s">
        <v>107</v>
      </c>
      <c r="F24" s="63"/>
      <c r="G24" s="1" t="s">
        <v>130</v>
      </c>
      <c r="H24" s="64" t="s">
        <v>131</v>
      </c>
      <c r="I24" s="11" t="s">
        <v>7</v>
      </c>
      <c r="J24" s="75" t="s">
        <v>46</v>
      </c>
      <c r="K24" s="194" t="s">
        <v>327</v>
      </c>
      <c r="L24" s="194" t="s">
        <v>327</v>
      </c>
      <c r="M24" s="194" t="s">
        <v>327</v>
      </c>
      <c r="N24" s="194" t="s">
        <v>62</v>
      </c>
      <c r="O24" s="14" t="s">
        <v>62</v>
      </c>
      <c r="P24" s="101" t="s">
        <v>534</v>
      </c>
    </row>
    <row r="25" spans="1:16" ht="122.4">
      <c r="A25" s="2">
        <v>24</v>
      </c>
      <c r="B25" s="3"/>
      <c r="C25" s="3"/>
      <c r="D25" s="15">
        <v>288</v>
      </c>
      <c r="E25" s="62" t="s">
        <v>18</v>
      </c>
      <c r="F25" s="63" t="s">
        <v>132</v>
      </c>
      <c r="G25" s="1" t="s">
        <v>133</v>
      </c>
      <c r="H25" s="64" t="s">
        <v>134</v>
      </c>
      <c r="I25" s="11" t="s">
        <v>7</v>
      </c>
      <c r="J25" s="75" t="s">
        <v>46</v>
      </c>
      <c r="K25" s="194" t="s">
        <v>136</v>
      </c>
      <c r="L25" s="194" t="s">
        <v>136</v>
      </c>
      <c r="M25" s="194" t="s">
        <v>136</v>
      </c>
      <c r="N25" s="194" t="s">
        <v>136</v>
      </c>
      <c r="O25" s="1" t="s">
        <v>136</v>
      </c>
      <c r="P25" s="101" t="s">
        <v>541</v>
      </c>
    </row>
    <row r="26" spans="1:16" ht="20.399999999999999">
      <c r="A26" s="2">
        <v>25</v>
      </c>
      <c r="B26" s="3"/>
      <c r="C26" s="3"/>
      <c r="D26" s="15">
        <v>289</v>
      </c>
      <c r="E26" s="62" t="s">
        <v>137</v>
      </c>
      <c r="F26" s="63" t="s">
        <v>7</v>
      </c>
      <c r="G26" s="14" t="s">
        <v>138</v>
      </c>
      <c r="H26" s="64" t="s">
        <v>139</v>
      </c>
      <c r="I26" s="11" t="s">
        <v>7</v>
      </c>
      <c r="J26" s="75" t="s">
        <v>46</v>
      </c>
      <c r="K26" s="194" t="s">
        <v>327</v>
      </c>
      <c r="L26" s="194" t="s">
        <v>327</v>
      </c>
      <c r="M26" s="194" t="s">
        <v>327</v>
      </c>
      <c r="N26" s="194" t="s">
        <v>62</v>
      </c>
      <c r="O26" s="14" t="s">
        <v>62</v>
      </c>
      <c r="P26" s="101" t="s">
        <v>534</v>
      </c>
    </row>
    <row r="27" spans="1:16" ht="91.8">
      <c r="A27" s="2">
        <v>26</v>
      </c>
      <c r="B27" s="3"/>
      <c r="C27" s="3"/>
      <c r="D27" s="15">
        <v>301</v>
      </c>
      <c r="E27" s="15" t="s">
        <v>18</v>
      </c>
      <c r="F27" s="63" t="s">
        <v>140</v>
      </c>
      <c r="G27" s="1" t="s">
        <v>141</v>
      </c>
      <c r="H27" s="64" t="s">
        <v>142</v>
      </c>
      <c r="I27" s="11" t="s">
        <v>7</v>
      </c>
      <c r="J27" s="75" t="s">
        <v>46</v>
      </c>
      <c r="K27" s="194" t="s">
        <v>144</v>
      </c>
      <c r="L27" s="194" t="s">
        <v>144</v>
      </c>
      <c r="M27" s="194" t="s">
        <v>144</v>
      </c>
      <c r="N27" s="194" t="s">
        <v>144</v>
      </c>
      <c r="O27" s="1" t="s">
        <v>144</v>
      </c>
      <c r="P27" s="101" t="s">
        <v>542</v>
      </c>
    </row>
    <row r="28" spans="1:16" ht="71.400000000000006">
      <c r="A28" s="2">
        <v>27</v>
      </c>
      <c r="B28" s="3"/>
      <c r="C28" s="3"/>
      <c r="D28" s="15">
        <v>302</v>
      </c>
      <c r="E28" s="15" t="s">
        <v>18</v>
      </c>
      <c r="F28" s="63" t="s">
        <v>145</v>
      </c>
      <c r="G28" s="1" t="s">
        <v>146</v>
      </c>
      <c r="H28" s="64" t="s">
        <v>147</v>
      </c>
      <c r="I28" s="11" t="s">
        <v>7</v>
      </c>
      <c r="J28" s="75" t="s">
        <v>46</v>
      </c>
      <c r="K28" s="194" t="s">
        <v>327</v>
      </c>
      <c r="L28" s="194" t="s">
        <v>327</v>
      </c>
      <c r="M28" s="194" t="s">
        <v>327</v>
      </c>
      <c r="N28" s="194" t="s">
        <v>62</v>
      </c>
      <c r="O28" s="14" t="s">
        <v>62</v>
      </c>
      <c r="P28" s="101" t="s">
        <v>534</v>
      </c>
    </row>
    <row r="29" spans="1:16" ht="40.799999999999997">
      <c r="A29" s="2">
        <v>28</v>
      </c>
      <c r="B29" s="3"/>
      <c r="C29" s="3"/>
      <c r="D29" s="15">
        <v>303</v>
      </c>
      <c r="E29" s="15" t="s">
        <v>107</v>
      </c>
      <c r="F29" s="63" t="s">
        <v>148</v>
      </c>
      <c r="G29" s="14" t="s">
        <v>149</v>
      </c>
      <c r="H29" s="64" t="s">
        <v>150</v>
      </c>
      <c r="I29" s="11" t="s">
        <v>7</v>
      </c>
      <c r="J29" s="75" t="s">
        <v>46</v>
      </c>
      <c r="K29" s="194" t="s">
        <v>327</v>
      </c>
      <c r="L29" s="194" t="s">
        <v>327</v>
      </c>
      <c r="M29" s="194" t="s">
        <v>327</v>
      </c>
      <c r="N29" s="194" t="s">
        <v>62</v>
      </c>
      <c r="O29" s="1" t="s">
        <v>152</v>
      </c>
      <c r="P29" s="101" t="s">
        <v>543</v>
      </c>
    </row>
    <row r="30" spans="1:16" ht="102">
      <c r="A30" s="2">
        <v>29</v>
      </c>
      <c r="B30" s="3"/>
      <c r="C30" s="3"/>
      <c r="D30" s="15">
        <v>305</v>
      </c>
      <c r="E30" s="15" t="s">
        <v>107</v>
      </c>
      <c r="F30" s="63" t="s">
        <v>153</v>
      </c>
      <c r="G30" s="1" t="s">
        <v>154</v>
      </c>
      <c r="H30" s="64" t="s">
        <v>155</v>
      </c>
      <c r="I30" s="11" t="s">
        <v>7</v>
      </c>
      <c r="J30" s="75" t="s">
        <v>46</v>
      </c>
      <c r="K30" s="194" t="s">
        <v>144</v>
      </c>
      <c r="L30" s="194" t="s">
        <v>144</v>
      </c>
      <c r="M30" s="194" t="s">
        <v>144</v>
      </c>
      <c r="N30" s="194" t="s">
        <v>144</v>
      </c>
      <c r="O30" s="1" t="s">
        <v>144</v>
      </c>
      <c r="P30" s="101" t="s">
        <v>544</v>
      </c>
    </row>
    <row r="31" spans="1:16" ht="71.400000000000006">
      <c r="A31" s="2">
        <v>30</v>
      </c>
      <c r="B31" s="3"/>
      <c r="C31" s="3"/>
      <c r="D31" s="15">
        <v>307</v>
      </c>
      <c r="E31" s="15" t="s">
        <v>18</v>
      </c>
      <c r="F31" s="63" t="s">
        <v>157</v>
      </c>
      <c r="G31" s="14" t="s">
        <v>158</v>
      </c>
      <c r="H31" s="64" t="s">
        <v>159</v>
      </c>
      <c r="I31" s="11" t="s">
        <v>7</v>
      </c>
      <c r="J31" s="75" t="s">
        <v>46</v>
      </c>
      <c r="K31" s="194" t="s">
        <v>327</v>
      </c>
      <c r="L31" s="194" t="s">
        <v>327</v>
      </c>
      <c r="M31" s="194" t="s">
        <v>327</v>
      </c>
      <c r="N31" s="194" t="s">
        <v>62</v>
      </c>
      <c r="O31" s="14" t="s">
        <v>62</v>
      </c>
      <c r="P31" s="101" t="s">
        <v>534</v>
      </c>
    </row>
    <row r="32" spans="1:16" ht="132.6">
      <c r="A32" s="2">
        <v>31</v>
      </c>
      <c r="B32" s="3"/>
      <c r="C32" s="3"/>
      <c r="D32" s="15">
        <v>308</v>
      </c>
      <c r="E32" s="15" t="s">
        <v>18</v>
      </c>
      <c r="F32" s="63" t="s">
        <v>160</v>
      </c>
      <c r="G32" s="1" t="s">
        <v>161</v>
      </c>
      <c r="H32" s="64" t="s">
        <v>162</v>
      </c>
      <c r="I32" s="11" t="s">
        <v>7</v>
      </c>
      <c r="J32" s="75" t="s">
        <v>46</v>
      </c>
      <c r="K32" s="194" t="s">
        <v>327</v>
      </c>
      <c r="L32" s="194" t="s">
        <v>327</v>
      </c>
      <c r="M32" s="194" t="s">
        <v>327</v>
      </c>
      <c r="N32" s="194" t="s">
        <v>62</v>
      </c>
      <c r="O32" s="14" t="s">
        <v>62</v>
      </c>
      <c r="P32" s="101" t="s">
        <v>534</v>
      </c>
    </row>
    <row r="33" spans="1:16" ht="122.4">
      <c r="A33" s="2">
        <v>32</v>
      </c>
      <c r="B33" s="3"/>
      <c r="C33" s="3"/>
      <c r="D33" s="15">
        <v>309</v>
      </c>
      <c r="E33" s="15" t="s">
        <v>18</v>
      </c>
      <c r="F33" s="63" t="s">
        <v>163</v>
      </c>
      <c r="G33" s="1" t="s">
        <v>164</v>
      </c>
      <c r="H33" s="64" t="s">
        <v>165</v>
      </c>
      <c r="I33" s="11" t="s">
        <v>7</v>
      </c>
      <c r="J33" s="75" t="s">
        <v>46</v>
      </c>
      <c r="K33" s="194" t="s">
        <v>136</v>
      </c>
      <c r="L33" s="194" t="s">
        <v>136</v>
      </c>
      <c r="M33" s="194" t="s">
        <v>136</v>
      </c>
      <c r="N33" s="194" t="s">
        <v>136</v>
      </c>
      <c r="O33" s="1" t="s">
        <v>136</v>
      </c>
      <c r="P33" s="101" t="s">
        <v>545</v>
      </c>
    </row>
    <row r="34" spans="1:16" ht="132.6">
      <c r="A34" s="2">
        <v>33</v>
      </c>
      <c r="B34" s="3"/>
      <c r="C34" s="3"/>
      <c r="D34" s="15">
        <v>310</v>
      </c>
      <c r="E34" s="15" t="s">
        <v>18</v>
      </c>
      <c r="F34" s="63" t="s">
        <v>167</v>
      </c>
      <c r="G34" s="1" t="s">
        <v>168</v>
      </c>
      <c r="H34" s="64" t="s">
        <v>169</v>
      </c>
      <c r="I34" s="11" t="s">
        <v>7</v>
      </c>
      <c r="J34" s="75" t="s">
        <v>46</v>
      </c>
      <c r="K34" s="262" t="s">
        <v>327</v>
      </c>
      <c r="L34" s="262" t="s">
        <v>327</v>
      </c>
      <c r="M34" s="262" t="s">
        <v>327</v>
      </c>
      <c r="N34" s="194" t="s">
        <v>136</v>
      </c>
      <c r="O34" s="1" t="s">
        <v>136</v>
      </c>
      <c r="P34" s="101" t="s">
        <v>546</v>
      </c>
    </row>
    <row r="35" spans="1:16" ht="61.2">
      <c r="A35" s="2">
        <v>34</v>
      </c>
      <c r="B35" s="3"/>
      <c r="C35" s="3"/>
      <c r="D35" s="15">
        <v>311</v>
      </c>
      <c r="E35" s="62" t="s">
        <v>18</v>
      </c>
      <c r="F35" s="63" t="s">
        <v>171</v>
      </c>
      <c r="G35" s="1" t="s">
        <v>172</v>
      </c>
      <c r="H35" s="64" t="s">
        <v>173</v>
      </c>
      <c r="I35" s="11" t="s">
        <v>7</v>
      </c>
      <c r="J35" s="75" t="s">
        <v>46</v>
      </c>
      <c r="K35" s="194" t="s">
        <v>327</v>
      </c>
      <c r="L35" s="194" t="s">
        <v>327</v>
      </c>
      <c r="M35" s="194" t="s">
        <v>327</v>
      </c>
      <c r="N35" s="194" t="s">
        <v>62</v>
      </c>
      <c r="O35" s="14" t="s">
        <v>62</v>
      </c>
      <c r="P35" s="101" t="s">
        <v>534</v>
      </c>
    </row>
    <row r="36" spans="1:16" ht="102">
      <c r="A36" s="2">
        <v>35</v>
      </c>
      <c r="B36" s="3"/>
      <c r="C36" s="3"/>
      <c r="D36" s="15">
        <v>312</v>
      </c>
      <c r="E36" s="62" t="s">
        <v>18</v>
      </c>
      <c r="F36" s="63" t="s">
        <v>175</v>
      </c>
      <c r="G36" s="14" t="s">
        <v>172</v>
      </c>
      <c r="H36" s="64" t="s">
        <v>177</v>
      </c>
      <c r="I36" s="11" t="s">
        <v>7</v>
      </c>
      <c r="J36" s="75" t="s">
        <v>46</v>
      </c>
      <c r="K36" s="194" t="s">
        <v>327</v>
      </c>
      <c r="L36" s="194" t="s">
        <v>327</v>
      </c>
      <c r="M36" s="194" t="s">
        <v>327</v>
      </c>
      <c r="N36" s="194" t="s">
        <v>62</v>
      </c>
      <c r="O36" s="14" t="s">
        <v>62</v>
      </c>
      <c r="P36" s="101" t="s">
        <v>534</v>
      </c>
    </row>
    <row r="37" spans="1:16" ht="61.2">
      <c r="A37" s="2">
        <v>36</v>
      </c>
      <c r="B37" s="3"/>
      <c r="C37" s="3"/>
      <c r="D37" s="15">
        <v>313</v>
      </c>
      <c r="E37" s="62" t="s">
        <v>18</v>
      </c>
      <c r="F37" s="63" t="s">
        <v>179</v>
      </c>
      <c r="G37" s="1" t="s">
        <v>180</v>
      </c>
      <c r="H37" s="64" t="s">
        <v>181</v>
      </c>
      <c r="I37" s="11" t="s">
        <v>7</v>
      </c>
      <c r="J37" s="75" t="s">
        <v>46</v>
      </c>
      <c r="K37" s="194" t="s">
        <v>327</v>
      </c>
      <c r="L37" s="194" t="s">
        <v>327</v>
      </c>
      <c r="M37" s="194" t="s">
        <v>327</v>
      </c>
      <c r="N37" s="194" t="s">
        <v>62</v>
      </c>
      <c r="O37" s="14" t="s">
        <v>62</v>
      </c>
      <c r="P37" s="101" t="s">
        <v>534</v>
      </c>
    </row>
    <row r="38" spans="1:16" ht="61.2">
      <c r="A38" s="2">
        <v>37</v>
      </c>
      <c r="B38" s="3"/>
      <c r="C38" s="3"/>
      <c r="D38" s="15">
        <v>314</v>
      </c>
      <c r="E38" s="62" t="s">
        <v>18</v>
      </c>
      <c r="F38" s="63" t="s">
        <v>183</v>
      </c>
      <c r="G38" s="1" t="s">
        <v>184</v>
      </c>
      <c r="H38" s="64" t="s">
        <v>185</v>
      </c>
      <c r="I38" s="11" t="s">
        <v>7</v>
      </c>
      <c r="J38" s="75" t="s">
        <v>46</v>
      </c>
      <c r="K38" s="194" t="s">
        <v>327</v>
      </c>
      <c r="L38" s="194" t="s">
        <v>327</v>
      </c>
      <c r="M38" s="194" t="s">
        <v>327</v>
      </c>
      <c r="N38" s="194" t="s">
        <v>62</v>
      </c>
      <c r="O38" s="14" t="s">
        <v>62</v>
      </c>
      <c r="P38" s="101" t="s">
        <v>534</v>
      </c>
    </row>
    <row r="39" spans="1:16" ht="30.6">
      <c r="A39" s="2">
        <v>38</v>
      </c>
      <c r="B39" s="3"/>
      <c r="C39" s="3"/>
      <c r="D39" s="15">
        <v>315</v>
      </c>
      <c r="E39" s="15" t="s">
        <v>187</v>
      </c>
      <c r="F39" s="63" t="s">
        <v>188</v>
      </c>
      <c r="G39" s="1" t="s">
        <v>189</v>
      </c>
      <c r="H39" s="64" t="s">
        <v>190</v>
      </c>
      <c r="I39" s="11" t="s">
        <v>7</v>
      </c>
      <c r="J39" s="75" t="s">
        <v>46</v>
      </c>
      <c r="K39" s="194" t="s">
        <v>327</v>
      </c>
      <c r="L39" s="194" t="s">
        <v>327</v>
      </c>
      <c r="M39" s="194" t="s">
        <v>327</v>
      </c>
      <c r="N39" s="194" t="s">
        <v>62</v>
      </c>
      <c r="O39" s="14" t="s">
        <v>62</v>
      </c>
      <c r="P39" s="101" t="s">
        <v>534</v>
      </c>
    </row>
    <row r="40" spans="1:16" ht="91.8">
      <c r="A40" s="2">
        <v>39</v>
      </c>
      <c r="B40" s="3"/>
      <c r="C40" s="3"/>
      <c r="D40" s="15">
        <v>324</v>
      </c>
      <c r="E40" s="15" t="s">
        <v>18</v>
      </c>
      <c r="F40" s="63" t="s">
        <v>191</v>
      </c>
      <c r="G40" s="1" t="s">
        <v>192</v>
      </c>
      <c r="H40" s="64" t="s">
        <v>193</v>
      </c>
      <c r="I40" s="11" t="s">
        <v>7</v>
      </c>
      <c r="J40" s="75" t="s">
        <v>46</v>
      </c>
      <c r="K40" s="194" t="s">
        <v>327</v>
      </c>
      <c r="L40" s="194" t="s">
        <v>327</v>
      </c>
      <c r="M40" s="194" t="s">
        <v>327</v>
      </c>
      <c r="N40" s="194" t="s">
        <v>62</v>
      </c>
      <c r="O40" s="14" t="s">
        <v>62</v>
      </c>
      <c r="P40" s="101" t="s">
        <v>534</v>
      </c>
    </row>
    <row r="41" spans="1:16" ht="122.4">
      <c r="A41" s="2">
        <v>40</v>
      </c>
      <c r="B41" s="3"/>
      <c r="C41" s="3"/>
      <c r="D41" s="15">
        <v>325</v>
      </c>
      <c r="E41" s="15" t="s">
        <v>18</v>
      </c>
      <c r="F41" s="63" t="s">
        <v>195</v>
      </c>
      <c r="G41" s="1" t="s">
        <v>196</v>
      </c>
      <c r="H41" s="64" t="s">
        <v>197</v>
      </c>
      <c r="I41" s="11" t="s">
        <v>7</v>
      </c>
      <c r="J41" s="75" t="s">
        <v>46</v>
      </c>
      <c r="K41" s="194" t="s">
        <v>136</v>
      </c>
      <c r="L41" s="194" t="s">
        <v>136</v>
      </c>
      <c r="M41" s="194" t="s">
        <v>136</v>
      </c>
      <c r="N41" s="194" t="s">
        <v>136</v>
      </c>
      <c r="O41" s="1" t="s">
        <v>136</v>
      </c>
      <c r="P41" s="101" t="s">
        <v>547</v>
      </c>
    </row>
    <row r="42" spans="1:16" ht="36">
      <c r="A42" s="2">
        <v>41</v>
      </c>
      <c r="B42" s="3"/>
      <c r="C42" s="3"/>
      <c r="D42" s="15">
        <v>326</v>
      </c>
      <c r="E42" s="15" t="s">
        <v>18</v>
      </c>
      <c r="F42" s="63" t="s">
        <v>198</v>
      </c>
      <c r="G42" s="14" t="s">
        <v>199</v>
      </c>
      <c r="H42" s="64" t="s">
        <v>200</v>
      </c>
      <c r="I42" s="11" t="s">
        <v>7</v>
      </c>
      <c r="J42" s="75" t="s">
        <v>46</v>
      </c>
      <c r="K42" s="194" t="s">
        <v>327</v>
      </c>
      <c r="L42" s="194" t="s">
        <v>327</v>
      </c>
      <c r="M42" s="194" t="s">
        <v>327</v>
      </c>
      <c r="N42" s="194" t="s">
        <v>62</v>
      </c>
      <c r="O42" s="14" t="s">
        <v>62</v>
      </c>
      <c r="P42" s="101" t="s">
        <v>534</v>
      </c>
    </row>
    <row r="43" spans="1:16" ht="34.200000000000003">
      <c r="A43" s="2">
        <v>42</v>
      </c>
      <c r="B43" s="3"/>
      <c r="C43" s="3"/>
      <c r="D43" s="15">
        <v>327</v>
      </c>
      <c r="E43" s="15" t="s">
        <v>18</v>
      </c>
      <c r="F43" s="63" t="s">
        <v>201</v>
      </c>
      <c r="G43" s="14" t="s">
        <v>202</v>
      </c>
      <c r="H43" s="64" t="s">
        <v>203</v>
      </c>
      <c r="I43" s="11" t="s">
        <v>7</v>
      </c>
      <c r="J43" s="75" t="s">
        <v>46</v>
      </c>
      <c r="K43" s="193" t="s">
        <v>327</v>
      </c>
      <c r="L43" s="193" t="s">
        <v>327</v>
      </c>
      <c r="M43" s="193" t="s">
        <v>327</v>
      </c>
      <c r="N43" s="193" t="s">
        <v>62</v>
      </c>
      <c r="O43" s="179" t="s">
        <v>206</v>
      </c>
      <c r="P43" s="101" t="s">
        <v>548</v>
      </c>
    </row>
    <row r="44" spans="1:16">
      <c r="A44" s="2">
        <v>43</v>
      </c>
      <c r="B44" s="3"/>
      <c r="C44" s="3"/>
      <c r="D44" s="15">
        <v>328</v>
      </c>
      <c r="E44" s="15" t="s">
        <v>18</v>
      </c>
      <c r="F44" s="63" t="s">
        <v>7</v>
      </c>
      <c r="G44" s="14" t="s">
        <v>207</v>
      </c>
      <c r="H44" s="65"/>
      <c r="I44" s="11" t="s">
        <v>7</v>
      </c>
      <c r="J44" s="75" t="s">
        <v>46</v>
      </c>
      <c r="K44" s="194" t="s">
        <v>327</v>
      </c>
      <c r="L44" s="194" t="s">
        <v>327</v>
      </c>
      <c r="M44" s="194" t="s">
        <v>327</v>
      </c>
      <c r="N44" s="194" t="s">
        <v>62</v>
      </c>
      <c r="O44" s="14" t="s">
        <v>62</v>
      </c>
      <c r="P44" s="101" t="s">
        <v>534</v>
      </c>
    </row>
    <row r="45" spans="1:16" ht="102">
      <c r="A45" s="2">
        <v>44</v>
      </c>
      <c r="B45" s="3"/>
      <c r="C45" s="3"/>
      <c r="D45" s="15">
        <v>329</v>
      </c>
      <c r="E45" s="15" t="s">
        <v>18</v>
      </c>
      <c r="F45" s="63" t="s">
        <v>208</v>
      </c>
      <c r="G45" s="14" t="s">
        <v>209</v>
      </c>
      <c r="H45" s="66" t="s">
        <v>210</v>
      </c>
      <c r="I45" s="11" t="s">
        <v>7</v>
      </c>
      <c r="J45" s="75" t="s">
        <v>46</v>
      </c>
      <c r="K45" s="194" t="s">
        <v>327</v>
      </c>
      <c r="L45" s="194" t="s">
        <v>327</v>
      </c>
      <c r="M45" s="194" t="s">
        <v>327</v>
      </c>
      <c r="N45" s="194" t="s">
        <v>62</v>
      </c>
      <c r="O45" s="14" t="s">
        <v>62</v>
      </c>
      <c r="P45" s="101" t="s">
        <v>534</v>
      </c>
    </row>
    <row r="46" spans="1:16" ht="20.399999999999999">
      <c r="A46" s="2">
        <v>45</v>
      </c>
      <c r="B46" s="3"/>
      <c r="C46" s="3"/>
      <c r="D46" s="15">
        <v>330</v>
      </c>
      <c r="E46" s="15" t="s">
        <v>18</v>
      </c>
      <c r="F46" s="63" t="s">
        <v>211</v>
      </c>
      <c r="G46" s="1" t="s">
        <v>212</v>
      </c>
      <c r="H46" s="65" t="s">
        <v>213</v>
      </c>
      <c r="I46" s="11" t="s">
        <v>7</v>
      </c>
      <c r="J46" s="75" t="s">
        <v>46</v>
      </c>
      <c r="K46" s="194" t="s">
        <v>327</v>
      </c>
      <c r="L46" s="194" t="s">
        <v>327</v>
      </c>
      <c r="M46" s="194" t="s">
        <v>327</v>
      </c>
      <c r="N46" s="194" t="s">
        <v>62</v>
      </c>
      <c r="O46" s="14" t="s">
        <v>62</v>
      </c>
      <c r="P46" s="101" t="s">
        <v>7</v>
      </c>
    </row>
    <row r="47" spans="1:16" ht="30.6">
      <c r="A47" s="2">
        <v>46</v>
      </c>
      <c r="B47" s="3"/>
      <c r="C47" s="3"/>
      <c r="D47" s="15">
        <v>331</v>
      </c>
      <c r="E47" s="15" t="s">
        <v>18</v>
      </c>
      <c r="F47" s="63" t="s">
        <v>215</v>
      </c>
      <c r="G47" s="1" t="s">
        <v>216</v>
      </c>
      <c r="H47" s="65" t="s">
        <v>217</v>
      </c>
      <c r="I47" s="11" t="s">
        <v>7</v>
      </c>
      <c r="J47" s="75" t="s">
        <v>46</v>
      </c>
      <c r="K47" s="194" t="s">
        <v>327</v>
      </c>
      <c r="L47" s="194" t="s">
        <v>327</v>
      </c>
      <c r="M47" s="194" t="s">
        <v>327</v>
      </c>
      <c r="N47" s="194" t="s">
        <v>62</v>
      </c>
      <c r="O47" s="14" t="s">
        <v>62</v>
      </c>
      <c r="P47" s="101" t="s">
        <v>534</v>
      </c>
    </row>
    <row r="48" spans="1:16">
      <c r="A48" s="2">
        <v>47</v>
      </c>
      <c r="B48" s="3"/>
      <c r="C48" s="3"/>
      <c r="D48" s="15">
        <v>332</v>
      </c>
      <c r="E48" s="15" t="s">
        <v>220</v>
      </c>
      <c r="F48" s="63" t="s">
        <v>7</v>
      </c>
      <c r="G48" s="14" t="s">
        <v>221</v>
      </c>
      <c r="H48" s="65" t="s">
        <v>222</v>
      </c>
      <c r="I48" s="11" t="s">
        <v>7</v>
      </c>
      <c r="J48" s="75" t="s">
        <v>46</v>
      </c>
      <c r="K48" s="194" t="s">
        <v>327</v>
      </c>
      <c r="L48" s="194" t="s">
        <v>327</v>
      </c>
      <c r="M48" s="194" t="s">
        <v>327</v>
      </c>
      <c r="N48" s="194" t="s">
        <v>62</v>
      </c>
      <c r="O48" s="14" t="s">
        <v>62</v>
      </c>
      <c r="P48" s="101" t="s">
        <v>534</v>
      </c>
    </row>
    <row r="49" spans="1:16">
      <c r="A49" s="2">
        <v>48</v>
      </c>
      <c r="B49" s="3"/>
      <c r="C49" s="3"/>
      <c r="D49" s="15">
        <v>335</v>
      </c>
      <c r="E49" s="15" t="s">
        <v>48</v>
      </c>
      <c r="F49" s="63" t="s">
        <v>7</v>
      </c>
      <c r="G49" s="1" t="s">
        <v>223</v>
      </c>
      <c r="H49" s="65" t="s">
        <v>224</v>
      </c>
      <c r="I49" s="11" t="s">
        <v>7</v>
      </c>
      <c r="J49" s="75" t="s">
        <v>46</v>
      </c>
      <c r="K49" s="194" t="s">
        <v>327</v>
      </c>
      <c r="L49" s="194" t="s">
        <v>327</v>
      </c>
      <c r="M49" s="194" t="s">
        <v>327</v>
      </c>
      <c r="N49" s="194" t="s">
        <v>62</v>
      </c>
      <c r="O49" s="14" t="s">
        <v>62</v>
      </c>
      <c r="P49" s="101" t="s">
        <v>534</v>
      </c>
    </row>
    <row r="50" spans="1:16" ht="30.6">
      <c r="A50" s="2">
        <v>49</v>
      </c>
      <c r="B50" s="3"/>
      <c r="C50" s="3"/>
      <c r="D50" s="15">
        <v>343</v>
      </c>
      <c r="E50" s="15" t="s">
        <v>225</v>
      </c>
      <c r="F50" s="63" t="s">
        <v>226</v>
      </c>
      <c r="G50" s="1" t="s">
        <v>227</v>
      </c>
      <c r="H50" s="65" t="s">
        <v>228</v>
      </c>
      <c r="I50" s="11" t="s">
        <v>7</v>
      </c>
      <c r="J50" s="75" t="s">
        <v>230</v>
      </c>
      <c r="K50" s="194" t="s">
        <v>231</v>
      </c>
      <c r="L50" s="194" t="s">
        <v>231</v>
      </c>
      <c r="M50" s="194" t="s">
        <v>231</v>
      </c>
      <c r="N50" s="194" t="s">
        <v>231</v>
      </c>
      <c r="O50" s="1" t="s">
        <v>231</v>
      </c>
      <c r="P50" s="101" t="s">
        <v>549</v>
      </c>
    </row>
    <row r="51" spans="1:16" ht="30.6">
      <c r="A51" s="2">
        <v>50</v>
      </c>
      <c r="B51" s="3"/>
      <c r="C51" s="3"/>
      <c r="D51" s="15">
        <v>346</v>
      </c>
      <c r="E51" s="15" t="s">
        <v>232</v>
      </c>
      <c r="F51" s="63" t="s">
        <v>233</v>
      </c>
      <c r="G51" s="1" t="s">
        <v>234</v>
      </c>
      <c r="H51" s="65" t="s">
        <v>235</v>
      </c>
      <c r="I51" s="11" t="s">
        <v>7</v>
      </c>
      <c r="J51" s="75" t="s">
        <v>230</v>
      </c>
      <c r="K51" s="194" t="s">
        <v>231</v>
      </c>
      <c r="L51" s="194" t="s">
        <v>231</v>
      </c>
      <c r="M51" s="194" t="s">
        <v>231</v>
      </c>
      <c r="N51" s="194" t="s">
        <v>231</v>
      </c>
      <c r="O51" s="1" t="s">
        <v>231</v>
      </c>
      <c r="P51" s="101" t="s">
        <v>549</v>
      </c>
    </row>
    <row r="52" spans="1:16" ht="30.6">
      <c r="A52" s="2">
        <v>51</v>
      </c>
      <c r="B52" s="3"/>
      <c r="C52" s="3"/>
      <c r="D52" s="15">
        <v>350</v>
      </c>
      <c r="E52" s="15" t="s">
        <v>48</v>
      </c>
      <c r="F52" s="63" t="s">
        <v>21</v>
      </c>
      <c r="G52" s="1" t="s">
        <v>237</v>
      </c>
      <c r="H52" s="65" t="s">
        <v>238</v>
      </c>
      <c r="I52" s="11" t="s">
        <v>7</v>
      </c>
      <c r="J52" s="75" t="s">
        <v>230</v>
      </c>
      <c r="K52" s="194" t="s">
        <v>231</v>
      </c>
      <c r="L52" s="194" t="s">
        <v>231</v>
      </c>
      <c r="M52" s="194" t="s">
        <v>231</v>
      </c>
      <c r="N52" s="194" t="s">
        <v>231</v>
      </c>
      <c r="O52" s="1" t="s">
        <v>231</v>
      </c>
      <c r="P52" s="101" t="s">
        <v>549</v>
      </c>
    </row>
    <row r="53" spans="1:16" ht="20.399999999999999">
      <c r="A53" s="2">
        <v>52</v>
      </c>
      <c r="B53" s="3"/>
      <c r="C53" s="3"/>
      <c r="D53" s="15">
        <v>358</v>
      </c>
      <c r="E53" s="15" t="s">
        <v>48</v>
      </c>
      <c r="F53" s="63" t="s">
        <v>7</v>
      </c>
      <c r="G53" s="1" t="s">
        <v>240</v>
      </c>
      <c r="H53" s="65" t="s">
        <v>241</v>
      </c>
      <c r="I53" s="11" t="s">
        <v>7</v>
      </c>
      <c r="J53" s="75" t="s">
        <v>230</v>
      </c>
      <c r="K53" s="194" t="s">
        <v>231</v>
      </c>
      <c r="L53" s="194" t="s">
        <v>231</v>
      </c>
      <c r="M53" s="194" t="s">
        <v>231</v>
      </c>
      <c r="N53" s="194" t="s">
        <v>231</v>
      </c>
      <c r="O53" s="1" t="s">
        <v>231</v>
      </c>
      <c r="P53" s="101" t="s">
        <v>549</v>
      </c>
    </row>
    <row r="54" spans="1:16">
      <c r="A54" s="2">
        <v>53</v>
      </c>
      <c r="B54" s="3"/>
      <c r="C54" s="3"/>
      <c r="D54" s="15">
        <v>366</v>
      </c>
      <c r="E54" s="62" t="s">
        <v>242</v>
      </c>
      <c r="F54" s="63" t="s">
        <v>7</v>
      </c>
      <c r="G54" s="14" t="s">
        <v>243</v>
      </c>
      <c r="H54" s="64" t="s">
        <v>244</v>
      </c>
      <c r="I54" s="11" t="s">
        <v>7</v>
      </c>
      <c r="J54" s="75" t="s">
        <v>46</v>
      </c>
      <c r="K54" s="194" t="s">
        <v>327</v>
      </c>
      <c r="L54" s="194" t="s">
        <v>327</v>
      </c>
      <c r="M54" s="194" t="s">
        <v>327</v>
      </c>
      <c r="N54" s="194" t="s">
        <v>62</v>
      </c>
      <c r="O54" s="14" t="s">
        <v>62</v>
      </c>
      <c r="P54" s="101" t="s">
        <v>534</v>
      </c>
    </row>
    <row r="55" spans="1:16">
      <c r="A55" s="2">
        <v>54</v>
      </c>
      <c r="B55" s="3"/>
      <c r="C55" s="3"/>
      <c r="D55" s="15">
        <v>445</v>
      </c>
      <c r="E55" s="15" t="s">
        <v>242</v>
      </c>
      <c r="F55" s="63"/>
      <c r="G55" s="14" t="s">
        <v>247</v>
      </c>
      <c r="H55" s="64" t="s">
        <v>244</v>
      </c>
      <c r="I55" s="11" t="s">
        <v>7</v>
      </c>
      <c r="J55" s="75" t="s">
        <v>46</v>
      </c>
      <c r="K55" s="194" t="s">
        <v>327</v>
      </c>
      <c r="L55" s="194" t="s">
        <v>327</v>
      </c>
      <c r="M55" s="194" t="s">
        <v>327</v>
      </c>
      <c r="N55" s="194" t="s">
        <v>62</v>
      </c>
      <c r="O55" s="14" t="s">
        <v>62</v>
      </c>
      <c r="P55" s="101" t="s">
        <v>534</v>
      </c>
    </row>
    <row r="56" spans="1:16">
      <c r="A56" s="2">
        <v>55</v>
      </c>
      <c r="B56" s="3"/>
      <c r="C56" s="3"/>
      <c r="D56" s="15">
        <v>524</v>
      </c>
      <c r="E56" s="62" t="s">
        <v>242</v>
      </c>
      <c r="F56" s="63"/>
      <c r="G56" s="14" t="s">
        <v>250</v>
      </c>
      <c r="H56" s="64" t="s">
        <v>244</v>
      </c>
      <c r="I56" s="11" t="s">
        <v>7</v>
      </c>
      <c r="J56" s="75" t="s">
        <v>46</v>
      </c>
      <c r="K56" s="194" t="s">
        <v>327</v>
      </c>
      <c r="L56" s="194" t="s">
        <v>327</v>
      </c>
      <c r="M56" s="194" t="s">
        <v>327</v>
      </c>
      <c r="N56" s="194" t="s">
        <v>62</v>
      </c>
      <c r="O56" s="14" t="s">
        <v>62</v>
      </c>
      <c r="P56" s="101" t="s">
        <v>534</v>
      </c>
    </row>
    <row r="57" spans="1:16">
      <c r="A57" s="2">
        <v>56</v>
      </c>
      <c r="B57" s="3"/>
      <c r="C57" s="3"/>
      <c r="D57" s="15">
        <v>603</v>
      </c>
      <c r="E57" s="15" t="s">
        <v>242</v>
      </c>
      <c r="F57" s="63" t="s">
        <v>7</v>
      </c>
      <c r="G57" s="14" t="s">
        <v>251</v>
      </c>
      <c r="H57" s="64" t="s">
        <v>244</v>
      </c>
      <c r="I57" s="11" t="s">
        <v>7</v>
      </c>
      <c r="J57" s="75" t="s">
        <v>46</v>
      </c>
      <c r="K57" s="194" t="s">
        <v>327</v>
      </c>
      <c r="L57" s="194" t="s">
        <v>327</v>
      </c>
      <c r="M57" s="194" t="s">
        <v>327</v>
      </c>
      <c r="N57" s="194" t="s">
        <v>62</v>
      </c>
      <c r="O57" s="14" t="s">
        <v>62</v>
      </c>
      <c r="P57" s="101" t="s">
        <v>534</v>
      </c>
    </row>
    <row r="58" spans="1:16">
      <c r="A58" s="2">
        <v>57</v>
      </c>
      <c r="B58" s="3"/>
      <c r="C58" s="3"/>
      <c r="D58" s="15">
        <v>682</v>
      </c>
      <c r="E58" s="15" t="s">
        <v>242</v>
      </c>
      <c r="F58" s="63" t="s">
        <v>7</v>
      </c>
      <c r="G58" s="14" t="s">
        <v>252</v>
      </c>
      <c r="H58" s="64" t="s">
        <v>244</v>
      </c>
      <c r="I58" s="11" t="s">
        <v>7</v>
      </c>
      <c r="J58" s="75" t="s">
        <v>46</v>
      </c>
      <c r="K58" s="194" t="s">
        <v>327</v>
      </c>
      <c r="L58" s="194" t="s">
        <v>327</v>
      </c>
      <c r="M58" s="194" t="s">
        <v>327</v>
      </c>
      <c r="N58" s="194" t="s">
        <v>62</v>
      </c>
      <c r="O58" s="14" t="s">
        <v>62</v>
      </c>
      <c r="P58" s="101" t="s">
        <v>534</v>
      </c>
    </row>
    <row r="59" spans="1:16">
      <c r="A59" s="2">
        <v>58</v>
      </c>
      <c r="B59" s="3"/>
      <c r="C59" s="3"/>
      <c r="D59" s="15">
        <v>761</v>
      </c>
      <c r="E59" s="15" t="s">
        <v>242</v>
      </c>
      <c r="F59" s="63" t="s">
        <v>7</v>
      </c>
      <c r="G59" s="14" t="s">
        <v>253</v>
      </c>
      <c r="H59" s="64" t="s">
        <v>244</v>
      </c>
      <c r="I59" s="11" t="s">
        <v>7</v>
      </c>
      <c r="J59" s="75" t="s">
        <v>46</v>
      </c>
      <c r="K59" s="194" t="s">
        <v>327</v>
      </c>
      <c r="L59" s="194" t="s">
        <v>327</v>
      </c>
      <c r="M59" s="194" t="s">
        <v>327</v>
      </c>
      <c r="N59" s="194" t="s">
        <v>62</v>
      </c>
      <c r="O59" s="14" t="s">
        <v>62</v>
      </c>
      <c r="P59" s="101" t="s">
        <v>534</v>
      </c>
    </row>
    <row r="60" spans="1:16" ht="132.6">
      <c r="A60" s="2">
        <v>59</v>
      </c>
      <c r="B60" s="3"/>
      <c r="C60" s="3"/>
      <c r="D60" s="15">
        <v>840</v>
      </c>
      <c r="E60" s="15" t="s">
        <v>18</v>
      </c>
      <c r="F60" s="63" t="s">
        <v>254</v>
      </c>
      <c r="G60" s="14" t="s">
        <v>255</v>
      </c>
      <c r="H60" s="66" t="s">
        <v>256</v>
      </c>
      <c r="I60" s="11" t="s">
        <v>7</v>
      </c>
      <c r="J60" s="75" t="s">
        <v>46</v>
      </c>
      <c r="K60" s="194" t="s">
        <v>327</v>
      </c>
      <c r="L60" s="194" t="s">
        <v>327</v>
      </c>
      <c r="M60" s="194" t="s">
        <v>327</v>
      </c>
      <c r="N60" s="194" t="s">
        <v>62</v>
      </c>
      <c r="O60" s="14" t="s">
        <v>62</v>
      </c>
      <c r="P60" s="101" t="s">
        <v>534</v>
      </c>
    </row>
    <row r="61" spans="1:16" ht="24">
      <c r="A61" s="2">
        <v>60</v>
      </c>
      <c r="B61" s="3"/>
      <c r="C61" s="3"/>
      <c r="D61" s="15">
        <v>841</v>
      </c>
      <c r="E61" s="15" t="s">
        <v>257</v>
      </c>
      <c r="F61" s="63" t="s">
        <v>258</v>
      </c>
      <c r="G61" s="1" t="s">
        <v>259</v>
      </c>
      <c r="H61" s="66" t="s">
        <v>260</v>
      </c>
      <c r="I61" s="11" t="s">
        <v>7</v>
      </c>
      <c r="J61" s="75" t="s">
        <v>46</v>
      </c>
      <c r="K61" s="194" t="s">
        <v>327</v>
      </c>
      <c r="L61" s="194" t="s">
        <v>327</v>
      </c>
      <c r="M61" s="194" t="s">
        <v>327</v>
      </c>
      <c r="N61" s="194" t="s">
        <v>62</v>
      </c>
      <c r="O61" s="14" t="s">
        <v>62</v>
      </c>
      <c r="P61" s="101" t="s">
        <v>534</v>
      </c>
    </row>
    <row r="62" spans="1:16" ht="71.400000000000006">
      <c r="A62" s="2">
        <v>61</v>
      </c>
      <c r="B62" s="3"/>
      <c r="C62" s="3"/>
      <c r="D62" s="15">
        <v>901</v>
      </c>
      <c r="E62" s="15" t="s">
        <v>18</v>
      </c>
      <c r="F62" s="63" t="s">
        <v>175</v>
      </c>
      <c r="G62" s="14" t="s">
        <v>261</v>
      </c>
      <c r="H62" s="65" t="s">
        <v>262</v>
      </c>
      <c r="I62" s="11" t="s">
        <v>7</v>
      </c>
      <c r="J62" s="75" t="s">
        <v>46</v>
      </c>
      <c r="K62" s="194" t="s">
        <v>327</v>
      </c>
      <c r="L62" s="194" t="s">
        <v>327</v>
      </c>
      <c r="M62" s="194" t="s">
        <v>327</v>
      </c>
      <c r="N62" s="194" t="s">
        <v>62</v>
      </c>
      <c r="O62" s="14" t="s">
        <v>62</v>
      </c>
      <c r="P62" s="101" t="s">
        <v>534</v>
      </c>
    </row>
    <row r="63" spans="1:16" ht="51">
      <c r="A63" s="2">
        <v>62</v>
      </c>
      <c r="B63" s="3"/>
      <c r="C63" s="3"/>
      <c r="D63" s="15">
        <v>902</v>
      </c>
      <c r="E63" s="15" t="s">
        <v>48</v>
      </c>
      <c r="F63" s="63" t="s">
        <v>263</v>
      </c>
      <c r="G63" s="1" t="s">
        <v>264</v>
      </c>
      <c r="H63" s="64" t="s">
        <v>265</v>
      </c>
      <c r="I63" s="11" t="s">
        <v>7</v>
      </c>
      <c r="J63" s="75" t="s">
        <v>46</v>
      </c>
      <c r="K63" s="194" t="s">
        <v>327</v>
      </c>
      <c r="L63" s="194" t="s">
        <v>327</v>
      </c>
      <c r="M63" s="194" t="s">
        <v>327</v>
      </c>
      <c r="N63" s="194" t="s">
        <v>62</v>
      </c>
      <c r="O63" s="14" t="s">
        <v>62</v>
      </c>
      <c r="P63" s="101" t="s">
        <v>534</v>
      </c>
    </row>
    <row r="64" spans="1:16" ht="51">
      <c r="A64" s="2">
        <v>63</v>
      </c>
      <c r="B64" s="3"/>
      <c r="C64" s="3"/>
      <c r="D64" s="15">
        <v>910</v>
      </c>
      <c r="E64" s="15" t="s">
        <v>48</v>
      </c>
      <c r="F64" s="63" t="s">
        <v>266</v>
      </c>
      <c r="G64" s="1" t="s">
        <v>267</v>
      </c>
      <c r="H64" s="65" t="s">
        <v>268</v>
      </c>
      <c r="I64" s="11" t="s">
        <v>7</v>
      </c>
      <c r="J64" s="75" t="s">
        <v>46</v>
      </c>
      <c r="K64" s="194" t="s">
        <v>327</v>
      </c>
      <c r="L64" s="194" t="s">
        <v>327</v>
      </c>
      <c r="M64" s="194" t="s">
        <v>327</v>
      </c>
      <c r="N64" s="194" t="s">
        <v>62</v>
      </c>
      <c r="O64" s="14" t="s">
        <v>62</v>
      </c>
      <c r="P64" s="101" t="s">
        <v>534</v>
      </c>
    </row>
    <row r="65" spans="1:16" ht="24">
      <c r="A65" s="2">
        <v>64</v>
      </c>
      <c r="B65" s="3"/>
      <c r="C65" s="3"/>
      <c r="D65" s="15">
        <v>918</v>
      </c>
      <c r="E65" s="15" t="s">
        <v>257</v>
      </c>
      <c r="F65" s="63" t="s">
        <v>269</v>
      </c>
      <c r="G65" s="14" t="s">
        <v>270</v>
      </c>
      <c r="H65" s="64" t="s">
        <v>271</v>
      </c>
      <c r="I65" s="11" t="s">
        <v>7</v>
      </c>
      <c r="J65" s="75" t="s">
        <v>46</v>
      </c>
      <c r="K65" s="194" t="s">
        <v>327</v>
      </c>
      <c r="L65" s="194" t="s">
        <v>327</v>
      </c>
      <c r="M65" s="194" t="s">
        <v>327</v>
      </c>
      <c r="N65" s="194" t="s">
        <v>62</v>
      </c>
      <c r="O65" s="14" t="s">
        <v>62</v>
      </c>
      <c r="P65" s="101" t="s">
        <v>534</v>
      </c>
    </row>
    <row r="66" spans="1:16" ht="122.4">
      <c r="A66" s="2">
        <v>65</v>
      </c>
      <c r="B66" s="3"/>
      <c r="C66" s="3"/>
      <c r="D66" s="15">
        <v>978</v>
      </c>
      <c r="E66" s="15" t="s">
        <v>18</v>
      </c>
      <c r="F66" s="63" t="s">
        <v>272</v>
      </c>
      <c r="G66" s="14" t="s">
        <v>273</v>
      </c>
      <c r="H66" s="65" t="s">
        <v>274</v>
      </c>
      <c r="I66" s="11" t="s">
        <v>7</v>
      </c>
      <c r="J66" s="75" t="s">
        <v>46</v>
      </c>
      <c r="K66" s="194" t="s">
        <v>327</v>
      </c>
      <c r="L66" s="194" t="s">
        <v>327</v>
      </c>
      <c r="M66" s="194" t="s">
        <v>327</v>
      </c>
      <c r="N66" s="194" t="s">
        <v>62</v>
      </c>
      <c r="O66" s="14" t="s">
        <v>62</v>
      </c>
      <c r="P66" s="101" t="s">
        <v>550</v>
      </c>
    </row>
    <row r="67" spans="1:16" ht="102">
      <c r="A67" s="2">
        <v>66</v>
      </c>
      <c r="B67" s="3"/>
      <c r="C67" s="3"/>
      <c r="D67" s="15">
        <v>979</v>
      </c>
      <c r="E67" s="15" t="s">
        <v>18</v>
      </c>
      <c r="F67" s="63" t="s">
        <v>276</v>
      </c>
      <c r="G67" s="14" t="s">
        <v>277</v>
      </c>
      <c r="H67" s="64" t="s">
        <v>278</v>
      </c>
      <c r="I67" s="11" t="s">
        <v>7</v>
      </c>
      <c r="J67" s="75" t="s">
        <v>46</v>
      </c>
      <c r="K67" s="194" t="s">
        <v>327</v>
      </c>
      <c r="L67" s="194" t="s">
        <v>327</v>
      </c>
      <c r="M67" s="194" t="s">
        <v>327</v>
      </c>
      <c r="N67" s="194" t="s">
        <v>62</v>
      </c>
      <c r="O67" s="14" t="s">
        <v>62</v>
      </c>
      <c r="P67" s="101" t="s">
        <v>534</v>
      </c>
    </row>
    <row r="68" spans="1:16">
      <c r="A68" s="2">
        <v>67</v>
      </c>
      <c r="B68" s="3"/>
      <c r="C68" s="3"/>
      <c r="D68" s="15">
        <v>980</v>
      </c>
      <c r="E68" s="15" t="s">
        <v>18</v>
      </c>
      <c r="F68" s="63" t="s">
        <v>7</v>
      </c>
      <c r="G68" s="14" t="s">
        <v>280</v>
      </c>
      <c r="H68" s="73" t="s">
        <v>281</v>
      </c>
      <c r="I68" s="11" t="s">
        <v>7</v>
      </c>
      <c r="J68" s="75" t="s">
        <v>46</v>
      </c>
      <c r="K68" s="194" t="s">
        <v>327</v>
      </c>
      <c r="L68" s="194" t="s">
        <v>327</v>
      </c>
      <c r="M68" s="194" t="s">
        <v>327</v>
      </c>
      <c r="N68" s="194" t="s">
        <v>62</v>
      </c>
      <c r="O68" s="14" t="s">
        <v>62</v>
      </c>
      <c r="P68" s="101" t="s">
        <v>534</v>
      </c>
    </row>
    <row r="69" spans="1:16">
      <c r="A69" s="2">
        <v>68</v>
      </c>
      <c r="B69" s="3"/>
      <c r="C69" s="3"/>
      <c r="D69" s="15">
        <v>981</v>
      </c>
      <c r="E69" s="15" t="s">
        <v>18</v>
      </c>
      <c r="F69" s="63"/>
      <c r="G69" s="14" t="s">
        <v>282</v>
      </c>
      <c r="H69" s="73" t="s">
        <v>281</v>
      </c>
      <c r="I69" s="11" t="s">
        <v>7</v>
      </c>
      <c r="J69" s="75" t="s">
        <v>46</v>
      </c>
      <c r="K69" s="194" t="s">
        <v>327</v>
      </c>
      <c r="L69" s="194" t="s">
        <v>327</v>
      </c>
      <c r="M69" s="194" t="s">
        <v>327</v>
      </c>
      <c r="N69" s="194" t="s">
        <v>62</v>
      </c>
      <c r="O69" s="14" t="s">
        <v>62</v>
      </c>
      <c r="P69" s="101" t="s">
        <v>534</v>
      </c>
    </row>
    <row r="70" spans="1:16">
      <c r="A70" s="2">
        <v>69</v>
      </c>
      <c r="B70" s="3"/>
      <c r="C70" s="3"/>
      <c r="D70" s="15">
        <v>982</v>
      </c>
      <c r="E70" s="15" t="s">
        <v>18</v>
      </c>
      <c r="F70" s="63" t="s">
        <v>7</v>
      </c>
      <c r="G70" s="14" t="s">
        <v>283</v>
      </c>
      <c r="H70" s="73" t="s">
        <v>281</v>
      </c>
      <c r="I70" s="11" t="s">
        <v>7</v>
      </c>
      <c r="J70" s="75" t="s">
        <v>46</v>
      </c>
      <c r="K70" s="194" t="s">
        <v>327</v>
      </c>
      <c r="L70" s="194" t="s">
        <v>327</v>
      </c>
      <c r="M70" s="194" t="s">
        <v>327</v>
      </c>
      <c r="N70" s="194" t="s">
        <v>62</v>
      </c>
      <c r="O70" s="14" t="s">
        <v>62</v>
      </c>
      <c r="P70" s="101" t="s">
        <v>534</v>
      </c>
    </row>
    <row r="71" spans="1:16">
      <c r="A71" s="2">
        <v>70</v>
      </c>
      <c r="B71" s="3"/>
      <c r="C71" s="3"/>
      <c r="D71" s="15">
        <v>983</v>
      </c>
      <c r="E71" s="15" t="s">
        <v>18</v>
      </c>
      <c r="F71" s="63" t="s">
        <v>7</v>
      </c>
      <c r="G71" s="1" t="s">
        <v>284</v>
      </c>
      <c r="H71" s="73" t="s">
        <v>281</v>
      </c>
      <c r="I71" s="11" t="s">
        <v>7</v>
      </c>
      <c r="J71" s="75" t="s">
        <v>46</v>
      </c>
      <c r="K71" s="194" t="s">
        <v>327</v>
      </c>
      <c r="L71" s="194" t="s">
        <v>327</v>
      </c>
      <c r="M71" s="194" t="s">
        <v>327</v>
      </c>
      <c r="N71" s="194" t="s">
        <v>62</v>
      </c>
      <c r="O71" s="14" t="s">
        <v>62</v>
      </c>
      <c r="P71" s="101" t="s">
        <v>534</v>
      </c>
    </row>
    <row r="72" spans="1:16" ht="112.2">
      <c r="A72" s="2">
        <v>71</v>
      </c>
      <c r="B72" s="3"/>
      <c r="C72" s="3"/>
      <c r="D72" s="15">
        <v>984</v>
      </c>
      <c r="E72" s="15" t="s">
        <v>18</v>
      </c>
      <c r="F72" s="63" t="s">
        <v>285</v>
      </c>
      <c r="G72" s="1" t="s">
        <v>286</v>
      </c>
      <c r="H72" s="66" t="s">
        <v>287</v>
      </c>
      <c r="I72" s="11" t="s">
        <v>7</v>
      </c>
      <c r="J72" s="75" t="s">
        <v>230</v>
      </c>
      <c r="K72" s="194" t="s">
        <v>327</v>
      </c>
      <c r="L72" s="194" t="s">
        <v>327</v>
      </c>
      <c r="M72" s="194" t="s">
        <v>327</v>
      </c>
      <c r="N72" s="194" t="s">
        <v>62</v>
      </c>
      <c r="O72" s="14" t="s">
        <v>62</v>
      </c>
      <c r="P72" s="101" t="s">
        <v>534</v>
      </c>
    </row>
    <row r="73" spans="1:16" ht="51">
      <c r="A73" s="2">
        <v>72</v>
      </c>
      <c r="B73" s="3"/>
      <c r="C73" s="3"/>
      <c r="D73" s="15">
        <v>985</v>
      </c>
      <c r="E73" s="15" t="s">
        <v>288</v>
      </c>
      <c r="F73" s="63" t="s">
        <v>289</v>
      </c>
      <c r="G73" s="14" t="s">
        <v>290</v>
      </c>
      <c r="H73" s="64" t="s">
        <v>291</v>
      </c>
      <c r="I73" s="11" t="s">
        <v>7</v>
      </c>
      <c r="J73" s="75" t="s">
        <v>46</v>
      </c>
      <c r="K73" s="194" t="s">
        <v>327</v>
      </c>
      <c r="L73" s="194" t="s">
        <v>327</v>
      </c>
      <c r="M73" s="194" t="s">
        <v>327</v>
      </c>
      <c r="N73" s="194" t="s">
        <v>62</v>
      </c>
      <c r="O73" s="14" t="s">
        <v>62</v>
      </c>
      <c r="P73" s="101" t="s">
        <v>534</v>
      </c>
    </row>
    <row r="74" spans="1:16">
      <c r="A74" s="2">
        <v>73</v>
      </c>
      <c r="B74" s="3"/>
      <c r="C74" s="3"/>
      <c r="D74" s="15">
        <v>1039</v>
      </c>
      <c r="E74" s="15" t="s">
        <v>292</v>
      </c>
      <c r="F74" s="63" t="s">
        <v>7</v>
      </c>
      <c r="G74" s="14" t="s">
        <v>293</v>
      </c>
      <c r="H74" s="67" t="s">
        <v>294</v>
      </c>
      <c r="I74" s="11" t="s">
        <v>7</v>
      </c>
      <c r="J74" s="75" t="s">
        <v>46</v>
      </c>
      <c r="K74" s="194" t="s">
        <v>327</v>
      </c>
      <c r="L74" s="194" t="s">
        <v>327</v>
      </c>
      <c r="M74" s="194" t="s">
        <v>327</v>
      </c>
      <c r="N74" s="194" t="s">
        <v>62</v>
      </c>
      <c r="O74" s="14" t="s">
        <v>62</v>
      </c>
      <c r="P74" s="101" t="s">
        <v>534</v>
      </c>
    </row>
    <row r="75" spans="1:16">
      <c r="A75" s="2">
        <v>74</v>
      </c>
      <c r="B75" s="3"/>
      <c r="C75" s="3"/>
      <c r="D75" s="15">
        <v>1048</v>
      </c>
      <c r="E75" s="15" t="s">
        <v>292</v>
      </c>
      <c r="F75" s="63" t="s">
        <v>7</v>
      </c>
      <c r="G75" s="14" t="s">
        <v>297</v>
      </c>
      <c r="H75" s="67" t="s">
        <v>294</v>
      </c>
      <c r="I75" s="11" t="s">
        <v>7</v>
      </c>
      <c r="J75" s="75" t="s">
        <v>46</v>
      </c>
      <c r="K75" s="194" t="s">
        <v>327</v>
      </c>
      <c r="L75" s="194" t="s">
        <v>327</v>
      </c>
      <c r="M75" s="194" t="s">
        <v>327</v>
      </c>
      <c r="N75" s="194" t="s">
        <v>62</v>
      </c>
      <c r="O75" s="14" t="s">
        <v>62</v>
      </c>
      <c r="P75" s="101" t="s">
        <v>534</v>
      </c>
    </row>
    <row r="76" spans="1:16">
      <c r="A76" s="2">
        <v>75</v>
      </c>
      <c r="B76" s="3"/>
      <c r="C76" s="3"/>
      <c r="D76" s="15">
        <v>1057</v>
      </c>
      <c r="E76" s="15" t="s">
        <v>292</v>
      </c>
      <c r="F76" s="63" t="s">
        <v>7</v>
      </c>
      <c r="G76" s="14" t="s">
        <v>300</v>
      </c>
      <c r="H76" s="67" t="s">
        <v>294</v>
      </c>
      <c r="I76" s="11" t="s">
        <v>7</v>
      </c>
      <c r="J76" s="75" t="s">
        <v>46</v>
      </c>
      <c r="K76" s="194" t="s">
        <v>327</v>
      </c>
      <c r="L76" s="194" t="s">
        <v>327</v>
      </c>
      <c r="M76" s="194" t="s">
        <v>327</v>
      </c>
      <c r="N76" s="194" t="s">
        <v>62</v>
      </c>
      <c r="O76" s="14" t="s">
        <v>62</v>
      </c>
      <c r="P76" s="101" t="s">
        <v>7</v>
      </c>
    </row>
    <row r="77" spans="1:16">
      <c r="A77" s="2">
        <v>76</v>
      </c>
      <c r="B77" s="3"/>
      <c r="C77" s="3"/>
      <c r="D77" s="15">
        <v>1066</v>
      </c>
      <c r="E77" s="15" t="s">
        <v>18</v>
      </c>
      <c r="F77" s="63" t="s">
        <v>7</v>
      </c>
      <c r="G77" s="14" t="s">
        <v>303</v>
      </c>
      <c r="H77" s="68"/>
      <c r="I77" s="11" t="s">
        <v>7</v>
      </c>
      <c r="J77" s="75" t="s">
        <v>230</v>
      </c>
      <c r="K77" s="195" t="s">
        <v>7</v>
      </c>
      <c r="L77" s="195" t="s">
        <v>7</v>
      </c>
      <c r="M77" s="195" t="s">
        <v>7</v>
      </c>
      <c r="N77" s="195" t="s">
        <v>7</v>
      </c>
      <c r="O77" s="148" t="s">
        <v>7</v>
      </c>
      <c r="P77" s="101" t="s">
        <v>549</v>
      </c>
    </row>
    <row r="78" spans="1:16" ht="51">
      <c r="A78" s="2">
        <v>77</v>
      </c>
      <c r="B78" s="3"/>
      <c r="C78" s="3"/>
      <c r="D78" s="15">
        <v>1067</v>
      </c>
      <c r="E78" s="15" t="s">
        <v>18</v>
      </c>
      <c r="F78" s="63" t="s">
        <v>305</v>
      </c>
      <c r="G78" s="5" t="s">
        <v>306</v>
      </c>
      <c r="H78" s="64" t="s">
        <v>307</v>
      </c>
      <c r="I78" s="11" t="s">
        <v>7</v>
      </c>
      <c r="J78" s="75" t="s">
        <v>46</v>
      </c>
      <c r="K78" s="194" t="s">
        <v>62</v>
      </c>
      <c r="L78" s="194" t="s">
        <v>62</v>
      </c>
      <c r="M78" s="194" t="s">
        <v>62</v>
      </c>
      <c r="N78" s="194" t="s">
        <v>62</v>
      </c>
      <c r="O78" s="14" t="s">
        <v>62</v>
      </c>
      <c r="P78" s="101" t="s">
        <v>534</v>
      </c>
    </row>
    <row r="79" spans="1:16" ht="61.2">
      <c r="A79" s="2">
        <v>78</v>
      </c>
      <c r="B79" s="3"/>
      <c r="C79" s="3"/>
      <c r="D79" s="15">
        <v>1068</v>
      </c>
      <c r="E79" s="15" t="s">
        <v>308</v>
      </c>
      <c r="F79" s="63" t="s">
        <v>309</v>
      </c>
      <c r="G79" s="14" t="s">
        <v>310</v>
      </c>
      <c r="H79" s="66" t="s">
        <v>311</v>
      </c>
      <c r="I79" s="11" t="s">
        <v>7</v>
      </c>
      <c r="J79" s="75" t="s">
        <v>46</v>
      </c>
      <c r="K79" s="194" t="s">
        <v>327</v>
      </c>
      <c r="L79" s="194" t="s">
        <v>327</v>
      </c>
      <c r="M79" s="194" t="s">
        <v>327</v>
      </c>
      <c r="N79" s="194" t="s">
        <v>62</v>
      </c>
      <c r="O79" s="14" t="s">
        <v>62</v>
      </c>
      <c r="P79" s="101" t="s">
        <v>534</v>
      </c>
    </row>
    <row r="80" spans="1:16">
      <c r="A80" s="2">
        <v>79</v>
      </c>
      <c r="B80" s="3"/>
      <c r="C80" s="3"/>
      <c r="D80" s="15">
        <v>1069</v>
      </c>
      <c r="E80" s="15" t="s">
        <v>313</v>
      </c>
      <c r="F80" s="63" t="s">
        <v>7</v>
      </c>
      <c r="G80" s="14" t="s">
        <v>314</v>
      </c>
      <c r="H80" s="69"/>
      <c r="I80" s="11" t="s">
        <v>7</v>
      </c>
      <c r="J80" s="75" t="s">
        <v>46</v>
      </c>
      <c r="K80" s="195" t="s">
        <v>7</v>
      </c>
      <c r="L80" s="195" t="s">
        <v>7</v>
      </c>
      <c r="M80" s="195" t="s">
        <v>7</v>
      </c>
      <c r="N80" s="195" t="s">
        <v>7</v>
      </c>
      <c r="O80" s="148" t="s">
        <v>7</v>
      </c>
      <c r="P80" s="101" t="s">
        <v>534</v>
      </c>
    </row>
    <row r="81" spans="1:16">
      <c r="A81" s="2">
        <v>80</v>
      </c>
      <c r="B81" s="3"/>
      <c r="C81" s="3"/>
      <c r="D81" s="15">
        <v>1077</v>
      </c>
      <c r="E81" s="15" t="s">
        <v>18</v>
      </c>
      <c r="F81" s="63" t="s">
        <v>7</v>
      </c>
      <c r="G81" s="14" t="s">
        <v>315</v>
      </c>
      <c r="H81" s="64" t="s">
        <v>316</v>
      </c>
      <c r="I81" s="11" t="s">
        <v>7</v>
      </c>
      <c r="J81" s="75" t="s">
        <v>46</v>
      </c>
      <c r="K81" s="196" t="s">
        <v>318</v>
      </c>
      <c r="L81" s="196" t="s">
        <v>318</v>
      </c>
      <c r="M81" s="196" t="s">
        <v>318</v>
      </c>
      <c r="N81" s="196" t="s">
        <v>318</v>
      </c>
      <c r="O81" s="171" t="s">
        <v>318</v>
      </c>
      <c r="P81" s="101" t="s">
        <v>534</v>
      </c>
    </row>
    <row r="82" spans="1:16" ht="102">
      <c r="A82" s="2">
        <v>81</v>
      </c>
      <c r="B82" s="3"/>
      <c r="C82" s="3"/>
      <c r="D82" s="15">
        <v>1078</v>
      </c>
      <c r="E82" s="15" t="s">
        <v>18</v>
      </c>
      <c r="F82" s="63" t="s">
        <v>7</v>
      </c>
      <c r="G82" s="1" t="s">
        <v>319</v>
      </c>
      <c r="H82" s="64" t="s">
        <v>320</v>
      </c>
      <c r="I82" s="11" t="s">
        <v>7</v>
      </c>
      <c r="J82" s="75" t="s">
        <v>46</v>
      </c>
      <c r="K82" s="194" t="s">
        <v>322</v>
      </c>
      <c r="L82" s="194" t="s">
        <v>322</v>
      </c>
      <c r="M82" s="194" t="s">
        <v>322</v>
      </c>
      <c r="N82" s="194" t="s">
        <v>322</v>
      </c>
      <c r="O82" s="1" t="s">
        <v>322</v>
      </c>
      <c r="P82" s="101" t="s">
        <v>534</v>
      </c>
    </row>
    <row r="83" spans="1:16" ht="102">
      <c r="A83" s="2">
        <v>82</v>
      </c>
      <c r="B83" s="3"/>
      <c r="C83" s="3"/>
      <c r="D83" s="15">
        <v>1079</v>
      </c>
      <c r="E83" s="62" t="s">
        <v>18</v>
      </c>
      <c r="F83" s="63" t="s">
        <v>7</v>
      </c>
      <c r="G83" s="14" t="s">
        <v>323</v>
      </c>
      <c r="H83" s="64" t="s">
        <v>324</v>
      </c>
      <c r="I83" s="11" t="s">
        <v>7</v>
      </c>
      <c r="J83" s="75" t="s">
        <v>46</v>
      </c>
      <c r="K83" s="194" t="s">
        <v>327</v>
      </c>
      <c r="L83" s="194" t="s">
        <v>327</v>
      </c>
      <c r="M83" s="194" t="s">
        <v>327</v>
      </c>
      <c r="N83" s="194" t="s">
        <v>62</v>
      </c>
      <c r="O83" s="14" t="s">
        <v>62</v>
      </c>
      <c r="P83" s="101" t="s">
        <v>534</v>
      </c>
    </row>
    <row r="84" spans="1:16" ht="81.599999999999994">
      <c r="A84" s="2">
        <v>83</v>
      </c>
      <c r="B84" s="3"/>
      <c r="C84" s="3"/>
      <c r="D84" s="15">
        <v>1080</v>
      </c>
      <c r="E84" s="15" t="s">
        <v>18</v>
      </c>
      <c r="F84" s="63" t="s">
        <v>7</v>
      </c>
      <c r="G84" s="14" t="s">
        <v>325</v>
      </c>
      <c r="H84" s="64" t="s">
        <v>326</v>
      </c>
      <c r="I84" s="11" t="s">
        <v>7</v>
      </c>
      <c r="J84" s="75" t="s">
        <v>46</v>
      </c>
      <c r="K84" s="194" t="s">
        <v>327</v>
      </c>
      <c r="L84" s="194" t="s">
        <v>327</v>
      </c>
      <c r="M84" s="194" t="s">
        <v>327</v>
      </c>
      <c r="N84" s="194" t="s">
        <v>62</v>
      </c>
      <c r="O84" s="14" t="s">
        <v>62</v>
      </c>
      <c r="P84" s="101" t="s">
        <v>534</v>
      </c>
    </row>
    <row r="85" spans="1:16" ht="30.6">
      <c r="A85" s="2">
        <v>84</v>
      </c>
      <c r="B85" s="3"/>
      <c r="C85" s="3"/>
      <c r="D85" s="15">
        <v>1081</v>
      </c>
      <c r="E85" s="15" t="s">
        <v>330</v>
      </c>
      <c r="F85" s="63" t="s">
        <v>7</v>
      </c>
      <c r="G85" s="14" t="s">
        <v>331</v>
      </c>
      <c r="H85" s="64" t="s">
        <v>332</v>
      </c>
      <c r="I85" s="11" t="s">
        <v>7</v>
      </c>
      <c r="J85" s="75" t="s">
        <v>46</v>
      </c>
      <c r="K85" s="194" t="s">
        <v>327</v>
      </c>
      <c r="L85" s="194" t="s">
        <v>327</v>
      </c>
      <c r="M85" s="194" t="s">
        <v>327</v>
      </c>
      <c r="N85" s="194" t="s">
        <v>62</v>
      </c>
      <c r="O85" s="14" t="s">
        <v>62</v>
      </c>
      <c r="P85" s="101" t="s">
        <v>7</v>
      </c>
    </row>
    <row r="86" spans="1:16" ht="122.4">
      <c r="A86" s="2">
        <v>85</v>
      </c>
      <c r="B86" s="3"/>
      <c r="C86" s="3"/>
      <c r="D86" s="15">
        <v>1092</v>
      </c>
      <c r="E86" s="15" t="s">
        <v>18</v>
      </c>
      <c r="F86" s="63" t="s">
        <v>7</v>
      </c>
      <c r="G86" s="14" t="s">
        <v>333</v>
      </c>
      <c r="H86" s="64" t="s">
        <v>334</v>
      </c>
      <c r="I86" s="11" t="s">
        <v>7</v>
      </c>
      <c r="J86" s="75" t="s">
        <v>46</v>
      </c>
      <c r="K86" s="262" t="s">
        <v>322</v>
      </c>
      <c r="L86" s="262" t="s">
        <v>322</v>
      </c>
      <c r="M86" s="262" t="s">
        <v>322</v>
      </c>
      <c r="N86" s="197" t="s">
        <v>551</v>
      </c>
      <c r="O86" s="1" t="s">
        <v>322</v>
      </c>
      <c r="P86" s="101" t="s">
        <v>534</v>
      </c>
    </row>
    <row r="87" spans="1:16" ht="30.6">
      <c r="A87" s="2">
        <v>86</v>
      </c>
      <c r="B87" s="3"/>
      <c r="C87" s="3"/>
      <c r="D87" s="15">
        <v>1093</v>
      </c>
      <c r="E87" s="62" t="s">
        <v>330</v>
      </c>
      <c r="F87" s="63" t="s">
        <v>7</v>
      </c>
      <c r="G87" s="14" t="s">
        <v>337</v>
      </c>
      <c r="H87" s="64" t="s">
        <v>338</v>
      </c>
      <c r="I87" s="11" t="s">
        <v>7</v>
      </c>
      <c r="J87" s="75" t="s">
        <v>46</v>
      </c>
      <c r="K87" s="194" t="s">
        <v>327</v>
      </c>
      <c r="L87" s="194" t="s">
        <v>327</v>
      </c>
      <c r="M87" s="194" t="s">
        <v>327</v>
      </c>
      <c r="N87" s="194" t="s">
        <v>62</v>
      </c>
      <c r="O87" s="14" t="s">
        <v>62</v>
      </c>
      <c r="P87" s="101" t="s">
        <v>534</v>
      </c>
    </row>
    <row r="88" spans="1:16" ht="122.4">
      <c r="A88" s="2">
        <v>87</v>
      </c>
      <c r="B88" s="3"/>
      <c r="C88" s="3"/>
      <c r="D88" s="15">
        <v>1104</v>
      </c>
      <c r="E88" s="62" t="s">
        <v>18</v>
      </c>
      <c r="F88" s="63" t="s">
        <v>7</v>
      </c>
      <c r="G88" s="14" t="s">
        <v>339</v>
      </c>
      <c r="H88" s="64" t="s">
        <v>340</v>
      </c>
      <c r="I88" s="11" t="s">
        <v>7</v>
      </c>
      <c r="J88" s="75" t="s">
        <v>46</v>
      </c>
      <c r="K88" s="194" t="s">
        <v>327</v>
      </c>
      <c r="L88" s="194" t="s">
        <v>327</v>
      </c>
      <c r="M88" s="194" t="s">
        <v>327</v>
      </c>
      <c r="N88" s="194" t="s">
        <v>62</v>
      </c>
      <c r="O88" s="14" t="s">
        <v>62</v>
      </c>
      <c r="P88" s="101" t="s">
        <v>534</v>
      </c>
    </row>
    <row r="89" spans="1:16" ht="30.6">
      <c r="A89" s="2">
        <v>88</v>
      </c>
      <c r="B89" s="3"/>
      <c r="C89" s="3"/>
      <c r="D89" s="15">
        <v>1105</v>
      </c>
      <c r="E89" s="62" t="s">
        <v>330</v>
      </c>
      <c r="F89" s="63" t="s">
        <v>7</v>
      </c>
      <c r="G89" s="14" t="s">
        <v>552</v>
      </c>
      <c r="H89" s="64" t="s">
        <v>342</v>
      </c>
      <c r="I89" s="11" t="s">
        <v>7</v>
      </c>
      <c r="J89" s="75" t="s">
        <v>46</v>
      </c>
      <c r="K89" s="194" t="s">
        <v>327</v>
      </c>
      <c r="L89" s="194" t="s">
        <v>327</v>
      </c>
      <c r="M89" s="194" t="s">
        <v>327</v>
      </c>
      <c r="N89" s="194" t="s">
        <v>62</v>
      </c>
      <c r="O89" s="14" t="s">
        <v>62</v>
      </c>
      <c r="P89" s="101" t="s">
        <v>534</v>
      </c>
    </row>
    <row r="90" spans="1:16" ht="122.4">
      <c r="A90" s="2">
        <v>89</v>
      </c>
      <c r="B90" s="3"/>
      <c r="C90" s="3"/>
      <c r="D90" s="15">
        <v>1116</v>
      </c>
      <c r="E90" s="62" t="s">
        <v>18</v>
      </c>
      <c r="F90" s="63" t="s">
        <v>7</v>
      </c>
      <c r="G90" s="14" t="s">
        <v>343</v>
      </c>
      <c r="H90" s="64" t="s">
        <v>344</v>
      </c>
      <c r="I90" s="11" t="s">
        <v>7</v>
      </c>
      <c r="J90" s="75" t="s">
        <v>46</v>
      </c>
      <c r="K90" s="194" t="s">
        <v>327</v>
      </c>
      <c r="L90" s="194" t="s">
        <v>327</v>
      </c>
      <c r="M90" s="194" t="s">
        <v>327</v>
      </c>
      <c r="N90" s="194" t="s">
        <v>62</v>
      </c>
      <c r="O90" s="14" t="s">
        <v>62</v>
      </c>
      <c r="P90" s="101" t="s">
        <v>534</v>
      </c>
    </row>
    <row r="91" spans="1:16" ht="40.799999999999997">
      <c r="A91" s="2">
        <v>90</v>
      </c>
      <c r="B91" s="3"/>
      <c r="C91" s="3"/>
      <c r="D91" s="15">
        <v>1117</v>
      </c>
      <c r="E91" s="15" t="s">
        <v>225</v>
      </c>
      <c r="F91" s="63" t="s">
        <v>7</v>
      </c>
      <c r="G91" s="14" t="s">
        <v>345</v>
      </c>
      <c r="H91" s="64" t="s">
        <v>346</v>
      </c>
      <c r="I91" s="11" t="s">
        <v>7</v>
      </c>
      <c r="J91" s="75" t="s">
        <v>52</v>
      </c>
      <c r="K91" s="194" t="s">
        <v>327</v>
      </c>
      <c r="L91" s="194" t="s">
        <v>327</v>
      </c>
      <c r="M91" s="194" t="s">
        <v>327</v>
      </c>
      <c r="N91" s="194" t="s">
        <v>62</v>
      </c>
      <c r="O91" s="14" t="s">
        <v>62</v>
      </c>
      <c r="P91" s="101" t="s">
        <v>534</v>
      </c>
    </row>
    <row r="92" spans="1:16" ht="40.799999999999997">
      <c r="A92" s="2">
        <v>91</v>
      </c>
      <c r="B92" s="3"/>
      <c r="C92" s="3"/>
      <c r="D92" s="15">
        <v>1120</v>
      </c>
      <c r="E92" s="15" t="s">
        <v>232</v>
      </c>
      <c r="F92" s="63" t="s">
        <v>7</v>
      </c>
      <c r="G92" s="14" t="s">
        <v>348</v>
      </c>
      <c r="H92" s="64" t="s">
        <v>349</v>
      </c>
      <c r="I92" s="11" t="s">
        <v>7</v>
      </c>
      <c r="J92" s="75" t="s">
        <v>52</v>
      </c>
      <c r="K92" s="194" t="s">
        <v>327</v>
      </c>
      <c r="L92" s="194" t="s">
        <v>327</v>
      </c>
      <c r="M92" s="194" t="s">
        <v>327</v>
      </c>
      <c r="N92" s="194" t="s">
        <v>62</v>
      </c>
      <c r="O92" s="14" t="s">
        <v>62</v>
      </c>
      <c r="P92" s="101" t="s">
        <v>534</v>
      </c>
    </row>
    <row r="93" spans="1:16" ht="51">
      <c r="A93" s="2">
        <v>92</v>
      </c>
      <c r="B93" s="3"/>
      <c r="C93" s="3"/>
      <c r="D93" s="15">
        <v>1124</v>
      </c>
      <c r="E93" s="15" t="s">
        <v>48</v>
      </c>
      <c r="F93" s="63"/>
      <c r="G93" s="14" t="s">
        <v>351</v>
      </c>
      <c r="H93" s="70" t="s">
        <v>352</v>
      </c>
      <c r="I93" s="11" t="s">
        <v>7</v>
      </c>
      <c r="J93" s="75" t="s">
        <v>52</v>
      </c>
      <c r="K93" s="194" t="s">
        <v>327</v>
      </c>
      <c r="L93" s="194" t="s">
        <v>327</v>
      </c>
      <c r="M93" s="194" t="s">
        <v>327</v>
      </c>
      <c r="N93" s="194" t="s">
        <v>62</v>
      </c>
      <c r="O93" s="14" t="s">
        <v>62</v>
      </c>
      <c r="P93" s="101" t="s">
        <v>534</v>
      </c>
    </row>
    <row r="94" spans="1:16" ht="71.400000000000006">
      <c r="A94" s="2">
        <v>93</v>
      </c>
      <c r="B94" s="3"/>
      <c r="C94" s="3"/>
      <c r="D94" s="15">
        <v>1132</v>
      </c>
      <c r="E94" s="15" t="s">
        <v>18</v>
      </c>
      <c r="F94" s="63" t="s">
        <v>7</v>
      </c>
      <c r="G94" s="1" t="s">
        <v>354</v>
      </c>
      <c r="H94" s="64" t="s">
        <v>553</v>
      </c>
      <c r="I94" s="11" t="s">
        <v>7</v>
      </c>
      <c r="J94" s="75" t="s">
        <v>52</v>
      </c>
      <c r="K94" s="116" t="s">
        <v>557</v>
      </c>
      <c r="L94" s="116" t="s">
        <v>554</v>
      </c>
      <c r="M94" s="116" t="s">
        <v>554</v>
      </c>
      <c r="N94" s="116" t="s">
        <v>554</v>
      </c>
      <c r="O94" s="183" t="s">
        <v>554</v>
      </c>
      <c r="P94" s="101" t="s">
        <v>534</v>
      </c>
    </row>
    <row r="95" spans="1:16" ht="40.799999999999997">
      <c r="A95" s="2">
        <v>94</v>
      </c>
      <c r="B95" s="3"/>
      <c r="C95" s="3"/>
      <c r="D95" s="15">
        <v>1133</v>
      </c>
      <c r="E95" s="15" t="s">
        <v>18</v>
      </c>
      <c r="F95" s="63"/>
      <c r="G95" s="14" t="s">
        <v>357</v>
      </c>
      <c r="H95" s="65" t="s">
        <v>358</v>
      </c>
      <c r="I95" s="11" t="s">
        <v>7</v>
      </c>
      <c r="J95" s="75" t="s">
        <v>46</v>
      </c>
      <c r="K95" s="194" t="s">
        <v>327</v>
      </c>
      <c r="L95" s="194" t="s">
        <v>327</v>
      </c>
      <c r="M95" s="194" t="s">
        <v>327</v>
      </c>
      <c r="N95" s="194" t="s">
        <v>62</v>
      </c>
      <c r="O95" s="14" t="s">
        <v>62</v>
      </c>
      <c r="P95" s="101" t="s">
        <v>534</v>
      </c>
    </row>
    <row r="96" spans="1:16">
      <c r="A96" s="2">
        <v>95</v>
      </c>
      <c r="B96" s="3"/>
      <c r="C96" s="3"/>
      <c r="D96" s="15">
        <v>1134</v>
      </c>
      <c r="E96" s="15" t="s">
        <v>82</v>
      </c>
      <c r="F96" s="63"/>
      <c r="G96" s="14" t="s">
        <v>359</v>
      </c>
      <c r="H96" s="65"/>
      <c r="I96" s="11" t="s">
        <v>7</v>
      </c>
      <c r="J96" s="112"/>
      <c r="K96" s="198" t="s">
        <v>327</v>
      </c>
      <c r="L96" s="198" t="s">
        <v>327</v>
      </c>
      <c r="M96" s="198" t="s">
        <v>327</v>
      </c>
      <c r="N96" s="198" t="s">
        <v>327</v>
      </c>
      <c r="O96" s="132" t="s">
        <v>327</v>
      </c>
      <c r="P96" s="101" t="s">
        <v>534</v>
      </c>
    </row>
    <row r="97" spans="1:16">
      <c r="A97" s="30">
        <v>96</v>
      </c>
      <c r="B97" s="13"/>
      <c r="C97" s="13"/>
      <c r="D97" s="15">
        <v>1136</v>
      </c>
      <c r="E97" s="62" t="s">
        <v>360</v>
      </c>
      <c r="F97" s="63" t="s">
        <v>7</v>
      </c>
      <c r="G97" s="1" t="s">
        <v>361</v>
      </c>
      <c r="H97" s="71" t="s">
        <v>7</v>
      </c>
      <c r="I97" s="11"/>
      <c r="J97" s="113" t="s">
        <v>7</v>
      </c>
      <c r="K97" s="198" t="s">
        <v>362</v>
      </c>
      <c r="L97" s="198" t="s">
        <v>362</v>
      </c>
      <c r="M97" s="198" t="s">
        <v>362</v>
      </c>
      <c r="N97" s="198" t="s">
        <v>362</v>
      </c>
      <c r="O97" s="132" t="s">
        <v>362</v>
      </c>
      <c r="P97" s="4"/>
    </row>
    <row r="98" spans="1:16">
      <c r="A98" s="104">
        <v>97</v>
      </c>
      <c r="B98" s="105"/>
      <c r="C98" s="105"/>
      <c r="D98" s="106">
        <v>1141</v>
      </c>
      <c r="E98" s="106" t="s">
        <v>18</v>
      </c>
      <c r="F98" s="107" t="s">
        <v>7</v>
      </c>
      <c r="G98" s="108" t="s">
        <v>363</v>
      </c>
      <c r="H98" s="109" t="s">
        <v>7</v>
      </c>
      <c r="I98" s="108"/>
      <c r="J98" s="114" t="s">
        <v>7</v>
      </c>
      <c r="K98" s="198" t="s">
        <v>362</v>
      </c>
      <c r="L98" s="198" t="s">
        <v>362</v>
      </c>
      <c r="M98" s="198" t="s">
        <v>362</v>
      </c>
      <c r="N98" s="198" t="s">
        <v>362</v>
      </c>
      <c r="O98" s="132" t="s">
        <v>362</v>
      </c>
      <c r="P98" s="4"/>
    </row>
    <row r="99" spans="1:16">
      <c r="A99" s="4">
        <v>98</v>
      </c>
      <c r="B99" s="3"/>
      <c r="C99" s="3"/>
      <c r="D99" s="110">
        <v>1142</v>
      </c>
      <c r="E99" s="3" t="s">
        <v>364</v>
      </c>
      <c r="F99" s="3"/>
      <c r="G99" s="11" t="s">
        <v>314</v>
      </c>
      <c r="H99" s="11"/>
      <c r="I99" s="11"/>
      <c r="J99" s="4"/>
      <c r="K99" s="199" t="s">
        <v>362</v>
      </c>
      <c r="L99" s="199" t="s">
        <v>362</v>
      </c>
      <c r="M99" s="199" t="s">
        <v>362</v>
      </c>
      <c r="N99" s="199" t="s">
        <v>362</v>
      </c>
      <c r="O99" s="140" t="s">
        <v>362</v>
      </c>
      <c r="P99" s="4"/>
    </row>
    <row r="100" spans="1:16">
      <c r="A100" s="5" t="s">
        <v>7</v>
      </c>
    </row>
    <row r="101" spans="1:16">
      <c r="A101" s="5" t="s">
        <v>7</v>
      </c>
    </row>
    <row r="102" spans="1:16">
      <c r="A102" s="5" t="s">
        <v>7</v>
      </c>
    </row>
    <row r="103" spans="1:16">
      <c r="A103" s="5" t="s">
        <v>7</v>
      </c>
    </row>
  </sheetData>
  <sheetProtection selectLockedCells="1" selectUnlockedCells="1"/>
  <protectedRanges>
    <protectedRange password="EE42" sqref="D70:H70" name="Range1_1_1_1"/>
    <protectedRange password="EE42" sqref="D73:H73" name="Range1_1_2_1"/>
    <protectedRange password="EE42" sqref="D78:H78" name="Range1_3_2"/>
  </protectedRanges>
  <autoFilter ref="A1:H103" xr:uid="{00000000-0009-0000-0000-000008000000}"/>
  <hyperlinks>
    <hyperlink ref="H68" r:id="rId1" display="javascript:showDefinitionDetails('Firm-defined on FARM APCS.','SEC_OBJ1');" xr:uid="{00000000-0004-0000-0800-000000000000}"/>
    <hyperlink ref="H69" r:id="rId2" display="javascript:showDefinitionDetails('Firm-defined on FARM APCS.','SEC_OBJ1');" xr:uid="{00000000-0004-0000-0800-000001000000}"/>
    <hyperlink ref="H70" r:id="rId3" display="javascript:showDefinitionDetails('Firm-defined on FARM APCS.','SEC_OBJ1');" xr:uid="{00000000-0004-0000-0800-000002000000}"/>
    <hyperlink ref="H71" r:id="rId4" display="javascript:showDefinitionDetails('Firm-defined on FARM APCS.','SEC_OBJ1');" xr:uid="{00000000-0004-0000-0800-000003000000}"/>
  </hyperlinks>
  <printOptions horizontalCentered="1"/>
  <pageMargins left="0" right="0" top="0.75" bottom="0.75" header="0.3" footer="0.3"/>
  <pageSetup scale="86" fitToHeight="18" orientation="landscape" horizontalDpi="300" verticalDpi="300" r:id="rId5"/>
  <headerFooter>
    <oddHeader>&amp;LRefinitiv&amp;CDEMO Reverse Mapping &amp;A&amp;RNew Installations - Conversions</oddHeader>
    <oddFooter>&amp;LConfidential&amp;C&amp;D&amp;RPage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sheetPr>
  <dimension ref="A1:C30"/>
  <sheetViews>
    <sheetView zoomScaleNormal="100" workbookViewId="0">
      <selection activeCell="J20" sqref="J20"/>
    </sheetView>
  </sheetViews>
  <sheetFormatPr defaultRowHeight="14.4"/>
  <cols>
    <col min="1" max="2" width="20.21875" customWidth="1"/>
  </cols>
  <sheetData>
    <row r="1" spans="1:3">
      <c r="A1" t="s">
        <v>423</v>
      </c>
    </row>
    <row r="2" spans="1:3" ht="48" customHeight="1">
      <c r="A2" s="80" t="s">
        <v>424</v>
      </c>
      <c r="B2" s="55" t="s">
        <v>425</v>
      </c>
      <c r="C2" s="88" t="s">
        <v>367</v>
      </c>
    </row>
    <row r="3" spans="1:3">
      <c r="A3" s="98" t="s">
        <v>7</v>
      </c>
      <c r="B3" s="77" t="s">
        <v>7</v>
      </c>
    </row>
    <row r="4" spans="1:3">
      <c r="A4" s="87"/>
      <c r="B4" s="87"/>
    </row>
    <row r="5" spans="1:3">
      <c r="A5" s="87"/>
      <c r="B5" s="87"/>
    </row>
    <row r="6" spans="1:3">
      <c r="A6" s="87"/>
      <c r="B6" s="87"/>
    </row>
    <row r="7" spans="1:3">
      <c r="A7" s="87"/>
      <c r="B7" s="87"/>
    </row>
    <row r="8" spans="1:3">
      <c r="A8" s="87"/>
      <c r="B8" s="87"/>
    </row>
    <row r="9" spans="1:3">
      <c r="A9" s="87"/>
      <c r="B9" s="87"/>
    </row>
    <row r="10" spans="1:3">
      <c r="A10" s="87"/>
      <c r="B10" s="87"/>
    </row>
    <row r="11" spans="1:3">
      <c r="A11" s="87"/>
      <c r="B11" s="87"/>
    </row>
    <row r="12" spans="1:3">
      <c r="A12" s="87"/>
      <c r="B12" s="87"/>
    </row>
    <row r="13" spans="1:3">
      <c r="A13" s="87"/>
      <c r="B13" s="87"/>
    </row>
    <row r="14" spans="1:3">
      <c r="A14" s="87"/>
      <c r="B14" s="87"/>
    </row>
    <row r="15" spans="1:3">
      <c r="A15" s="87"/>
      <c r="B15" s="87"/>
    </row>
    <row r="16" spans="1:3">
      <c r="A16" s="87"/>
      <c r="B16" s="87"/>
    </row>
    <row r="17" spans="1:2">
      <c r="A17" s="87"/>
      <c r="B17" s="87"/>
    </row>
    <row r="18" spans="1:2">
      <c r="A18" s="87"/>
      <c r="B18" s="87"/>
    </row>
    <row r="19" spans="1:2">
      <c r="A19" s="87"/>
      <c r="B19" s="87"/>
    </row>
    <row r="20" spans="1:2">
      <c r="A20" s="87"/>
      <c r="B20" s="87"/>
    </row>
    <row r="21" spans="1:2">
      <c r="A21" s="87"/>
      <c r="B21" s="87"/>
    </row>
    <row r="22" spans="1:2">
      <c r="A22" s="87"/>
      <c r="B22" s="87"/>
    </row>
    <row r="23" spans="1:2">
      <c r="A23" s="87"/>
      <c r="B23" s="87"/>
    </row>
    <row r="24" spans="1:2">
      <c r="A24" s="87"/>
      <c r="B24" s="87"/>
    </row>
    <row r="25" spans="1:2">
      <c r="A25" s="87"/>
      <c r="B25" s="87"/>
    </row>
    <row r="26" spans="1:2">
      <c r="A26" s="87"/>
      <c r="B26" s="87"/>
    </row>
    <row r="27" spans="1:2">
      <c r="A27" s="87"/>
      <c r="B27" s="87"/>
    </row>
    <row r="28" spans="1:2">
      <c r="A28" s="87"/>
      <c r="B28" s="87"/>
    </row>
    <row r="29" spans="1:2">
      <c r="A29" s="87"/>
      <c r="B29" s="87"/>
    </row>
    <row r="30" spans="1:2">
      <c r="A30" s="87"/>
      <c r="B30" s="87"/>
    </row>
  </sheetData>
  <hyperlinks>
    <hyperlink ref="C2" location="MAPPING!K13" display="Return to Mapping" xr:uid="{00000000-0004-0000-0500-000000000000}"/>
  </hyperlinks>
  <pageMargins left="0.7" right="0.7" top="0.75" bottom="0.75" header="0.3" footer="0.3"/>
  <pageSetup paperSize="216" orientation="landscape" r:id="rId1"/>
  <headerFooter>
    <oddHeader>&amp;LRefinitiv&amp;CDEMO Reverse Mapping &amp;A&amp;RNew Installations - Conversions</oddHeader>
    <oddFooter>&amp;LConfidential&amp;C&amp;D&amp;RPage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62D44502-6458-4F06-BBCD-DFCFF70E9A6A}">
  <ds:schemaRefs>
    <ds:schemaRef ds:uri="http://schemas.microsoft.com/sharepoint/v3/contenttype/forms"/>
  </ds:schemaRefs>
</ds:datastoreItem>
</file>

<file path=customXml/itemProps2.xml><?xml version="1.0" encoding="utf-8"?>
<ds:datastoreItem xmlns:ds="http://schemas.openxmlformats.org/officeDocument/2006/customXml" ds:itemID="{7AAA5925-B6B1-425F-9D15-140855358D71}">
  <ds:schemaRefs>
    <ds:schemaRef ds:uri="http://schemas.microsoft.com/office/2006/documentManagement/types"/>
    <ds:schemaRef ds:uri="http://schemas.microsoft.com/sharepoint/v3"/>
    <ds:schemaRef ds:uri="http://purl.org/dc/elements/1.1/"/>
    <ds:schemaRef ds:uri="http://www.w3.org/XML/1998/namespace"/>
    <ds:schemaRef ds:uri="b2dbde3b-126d-4786-9776-87cdafcd6f93"/>
    <ds:schemaRef ds:uri="http://schemas.microsoft.com/office/infopath/2007/PartnerControls"/>
    <ds:schemaRef ds:uri="http://purl.org/dc/terms/"/>
    <ds:schemaRef ds:uri="http://purl.org/dc/dcmitype/"/>
    <ds:schemaRef ds:uri="e85c2c2a-e6cc-4846-86fa-d319c4bb3bfb"/>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3B099C0D-57CD-4D4A-A344-E5BDBF548B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85c2c2a-e6cc-4846-86fa-d319c4bb3bfb"/>
    <ds:schemaRef ds:uri="b2dbde3b-126d-4786-9776-87cdafcd6f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F702E32-BBB3-4960-A5B7-380E73505DA6}">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 PAGE</vt:lpstr>
      <vt:lpstr>UPDATES</vt:lpstr>
      <vt:lpstr>NI CLIENT NOTES</vt:lpstr>
      <vt:lpstr>MAPPING</vt:lpstr>
      <vt:lpstr>TABLE A $ RANGE</vt:lpstr>
      <vt:lpstr>TABLE C ASSOC FIELDS</vt:lpstr>
      <vt:lpstr>TABLE D TIME NEEDS</vt:lpstr>
      <vt:lpstr>PREVIOUS MAPPING</vt:lpstr>
      <vt:lpstr>TABLE B OCCU</vt:lpstr>
      <vt:lpstr>UPDATES!OLE_LINK5</vt:lpstr>
      <vt:lpstr>'COVER PAGE'!Print_Area</vt:lpstr>
      <vt:lpstr>MAPPING!Print_Area</vt:lpstr>
      <vt:lpstr>'PREVIOUS MAPPING'!Print_Area</vt:lpstr>
      <vt:lpstr>'TABLE A $ RANGE'!Print_Area</vt:lpstr>
      <vt:lpstr>UPDATES!Print_Area</vt:lpstr>
      <vt:lpstr>MAPPING!Print_Titles</vt:lpstr>
      <vt:lpstr>'PREVIOUS MAPPING'!Print_Titles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DEMO - NFS - MASTER</dc:title>
  <dc:subject/>
  <dc:creator/>
  <cp:keywords/>
  <dc:description/>
  <cp:lastModifiedBy/>
  <cp:revision/>
  <dcterms:created xsi:type="dcterms:W3CDTF">2006-09-16T00:00:00Z</dcterms:created>
  <dcterms:modified xsi:type="dcterms:W3CDTF">2025-07-25T15:20:19Z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Archive">
    <vt:lpwstr/>
  </property>
  <property fmtid="{D5CDD505-2E9C-101B-9397-08002B2CF9AE}" pid="4" name="Category?">
    <vt:lpwstr/>
  </property>
  <property fmtid="{D5CDD505-2E9C-101B-9397-08002B2CF9AE}" pid="5" name="Notes0">
    <vt:lpwstr/>
  </property>
  <property fmtid="{D5CDD505-2E9C-101B-9397-08002B2CF9AE}" pid="6" name="display_urn:schemas-microsoft-com:office:office#Editor">
    <vt:lpwstr>Torres, Elvira I.</vt:lpwstr>
  </property>
  <property fmtid="{D5CDD505-2E9C-101B-9397-08002B2CF9AE}" pid="7" name="xd_Signature">
    <vt:lpwstr/>
  </property>
  <property fmtid="{D5CDD505-2E9C-101B-9397-08002B2CF9AE}" pid="8" name="Order">
    <vt:lpwstr>220400.000000000</vt:lpwstr>
  </property>
  <property fmtid="{D5CDD505-2E9C-101B-9397-08002B2CF9AE}" pid="9" name="TemplateUrl">
    <vt:lpwstr/>
  </property>
  <property fmtid="{D5CDD505-2E9C-101B-9397-08002B2CF9AE}" pid="10" name="xd_ProgID">
    <vt:lpwstr/>
  </property>
  <property fmtid="{D5CDD505-2E9C-101B-9397-08002B2CF9AE}" pid="11" name="display_urn:schemas-microsoft-com:office:office#Author">
    <vt:lpwstr>Torres, Elvira I.</vt:lpwstr>
  </property>
  <property fmtid="{D5CDD505-2E9C-101B-9397-08002B2CF9AE}" pid="12" name="ComplianceAssetId">
    <vt:lpwstr/>
  </property>
  <property fmtid="{D5CDD505-2E9C-101B-9397-08002B2CF9AE}" pid="13" name="_ExtendedDescription">
    <vt:lpwstr/>
  </property>
  <property fmtid="{D5CDD505-2E9C-101B-9397-08002B2CF9AE}" pid="14" name="MSIP_Label_defa4170-0d19-0005-0004-bc88714345d2_Enabled">
    <vt:lpwstr>true</vt:lpwstr>
  </property>
  <property fmtid="{D5CDD505-2E9C-101B-9397-08002B2CF9AE}" pid="15" name="MSIP_Label_defa4170-0d19-0005-0004-bc88714345d2_SetDate">
    <vt:lpwstr>2024-04-23T16:07:37Z</vt:lpwstr>
  </property>
  <property fmtid="{D5CDD505-2E9C-101B-9397-08002B2CF9AE}" pid="16" name="MSIP_Label_defa4170-0d19-0005-0004-bc88714345d2_Method">
    <vt:lpwstr>Standard</vt:lpwstr>
  </property>
  <property fmtid="{D5CDD505-2E9C-101B-9397-08002B2CF9AE}" pid="17" name="MSIP_Label_defa4170-0d19-0005-0004-bc88714345d2_Name">
    <vt:lpwstr>defa4170-0d19-0005-0004-bc88714345d2</vt:lpwstr>
  </property>
  <property fmtid="{D5CDD505-2E9C-101B-9397-08002B2CF9AE}" pid="18" name="MSIP_Label_defa4170-0d19-0005-0004-bc88714345d2_SiteId">
    <vt:lpwstr>858a526a-24f7-4f84-9735-cd447d7035ca</vt:lpwstr>
  </property>
  <property fmtid="{D5CDD505-2E9C-101B-9397-08002B2CF9AE}" pid="19" name="MSIP_Label_defa4170-0d19-0005-0004-bc88714345d2_ActionId">
    <vt:lpwstr>6fa49bb2-6a58-4a19-a96c-ed2e0d15cf44</vt:lpwstr>
  </property>
  <property fmtid="{D5CDD505-2E9C-101B-9397-08002B2CF9AE}" pid="20" name="MSIP_Label_defa4170-0d19-0005-0004-bc88714345d2_ContentBits">
    <vt:lpwstr>0</vt:lpwstr>
  </property>
  <property fmtid="{D5CDD505-2E9C-101B-9397-08002B2CF9AE}" pid="21" name="MediaServiceImageTags">
    <vt:lpwstr/>
  </property>
</Properties>
</file>